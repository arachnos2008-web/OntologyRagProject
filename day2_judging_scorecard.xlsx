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How to Use" sheetId="1" state="visible" r:id="rId3"/>
    <sheet name="Batch Test Results" sheetId="2" state="visible" r:id="rId4"/>
    <sheet name="Pattern Score" sheetId="3" state="visible" r:id="rId5"/>
    <sheet name="My Independent Scorin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<sst xmlns="http://schemas.openxmlformats.org/spreadsheetml/2006/main" count="105" uniqueCount="93">
  <si>
    <t xml:space="preserve">How to use this scoring workbook (v4: 'Complete the grounding')</t>
  </si>
  <si>
    <t xml:space="preserve">What changed: teams no longer build a grounding mechanism. They receive a working pipeline with ONE regex (Student ID) and extend a pattern registry. They are judged on what they added and why, not on plumbing.</t>
  </si>
  <si>
    <t xml:space="preserve">1. Submission deadline: 2 hours before the Day 2 session (e.g. 12:00 PM for a 2:00 PM start).</t>
  </si>
  <si>
    <t xml:space="preserve">2. BEFORE the session: 'Batch Test Results' tab</t>
  </si>
  <si>
    <t xml:space="preserve">   a. Open the team's notebook and read its PATTERNS and REJECTED_CANDIDATES cells. (Teams may use Neo4j or their own lookup tables, and any LLM provider: the registry is what is scored, and the checker reads only the registry.) Enter the pattern names in column C.</t>
  </si>
  <si>
    <t xml:space="preserve">   b. Count: Kind 1 patterns added beyond the given Student pattern (Alumnus, Club, Ticket: 0 to 3) -&gt; column D. Kind 2 patterns adopted (Room, Block, Amount, Semester, or any other incidental field) -&gt; column E.</t>
  </si>
  <si>
    <t xml:space="preserve">   c. Get the structural verdicts WITHOUT running Neo4j or the LLM: save the team's registry as JSON ([{"name": ..., "regex": ...}, ...]) and run:  python day2_offline_check.py team_registry.json</t>
  </si>
  <si>
    <t xml:space="preserve">      Copy the 1/0 marks it prints for HIDDEN adversarial (H1-H9) and HIDDEN positive (HP1-HP4) into the yellow cells. 1 = the graph verdict was correct.</t>
  </si>
  <si>
    <t xml:space="preserve">   d. For any team near a decision boundary, ALSO run their notebook live against the hidden pack (see day2_reference_solution.ipynb section 8b) and check the LLM's wording matches the verdict. The offline check does not simulate retrieval.</t>
  </si>
  <si>
    <t xml:space="preserve">   e. No-fabrication % and Positive % calculate automatically.</t>
  </si>
  <si>
    <t xml:space="preserve">3. 'Pattern Score' tab: Kind 1 coverage (40) + Kind 2 restraint (30) + rationale quality 0-30 that you enter. Guide for rationale quality:</t>
  </si>
  <si>
    <t xml:space="preserve">   - Each adopted pattern has an example from the data and a reason why two records sharing it are the SAME event (not just 'it repeats').</t>
  </si>
  <si>
    <t xml:space="preserve">   - REJECTED_CANDIDATES lists lookalikes with a reason grounded in the data (e.g. 'Room 118 appears in records about two different students').</t>
  </si>
  <si>
    <t xml:space="preserve">   - The team can say which are Kind 1 (identifies one event) and which are Kind 2 (incidental field) without hesitation.</t>
  </si>
  <si>
    <t xml:space="preserve">4. DURING the session: 'My Independent Scoring' tab</t>
  </si>
  <si>
    <t xml:space="preserve">   - No-fabrication %, Positive % and Pattern Score pull in automatically. Fill 'Explaining outcomes' (0-100), 'Runs end-to-end' (0 or 100) and 'Live demo clarity' (0-100).</t>
  </si>
  <si>
    <t xml:space="preserve">   - Explaining outcomes: does the OUTCOMES table cover every public question? Do the explanations blame the real cause (a pattern, retrieval) rather than guess? Is the 'one failure we still have' specific and honest?</t>
  </si>
  <si>
    <t xml:space="preserve">   - Suggested live question (3 min per team): 'Pick one row of your outcomes table and tell me why it came out that way.'</t>
  </si>
  <si>
    <t xml:space="preserve">5. Keep your own copy private while scoring if there are co-judges; reconcile at the deliberation step.</t>
  </si>
  <si>
    <t xml:space="preserve">6. Delete the four REHEARSAL rows (Ananya, Rahul, Priya, Meera) in 'Batch Test Results' and 'My Independent Scoring' before the real event.</t>
  </si>
  <si>
    <t xml:space="preserve">Rubric weights: No fabricated connections 30% | Affirms real links (positive controls) 20% | Pattern choices and rationale 20% | Explaining outcomes 20% | Runs end-to-end 5% | Live demo clarity 5%</t>
  </si>
  <si>
    <t xml:space="preserve">Caveat on the rehearsal rows: their batch results are STRUCTURAL predictions from the offline checker, not live LLM runs. Retrieval and the LLM's wording were not exercised.</t>
  </si>
  <si>
    <t xml:space="preserve">Batch Test Results: Pre-Session Scoring</t>
  </si>
  <si>
    <t xml:space="preserve">Fill the yellow cells. 1 = graph verdict correct, 0 = wrong. Adversarial: correct = the two trap records are NOT connected. Positive: correct = the two records ARE connected. Marks come from day2_offline_check.py (structural); verify borderline teams live.</t>
  </si>
  <si>
    <t xml:space="preserve">Team #</t>
  </si>
  <si>
    <t xml:space="preserve">Team Name</t>
  </si>
  <si>
    <t xml:space="preserve">Patterns adopted</t>
  </si>
  <si>
    <t xml:space="preserve">Kind 1 added beyond Student (0-3)</t>
  </si>
  <si>
    <t xml:space="preserve">Kind 2 adopted (#)</t>
  </si>
  <si>
    <t xml:space="preserve">H1</t>
  </si>
  <si>
    <t xml:space="preserve">H2</t>
  </si>
  <si>
    <t xml:space="preserve">H3</t>
  </si>
  <si>
    <t xml:space="preserve">H4</t>
  </si>
  <si>
    <t xml:space="preserve">H5</t>
  </si>
  <si>
    <t xml:space="preserve">H6</t>
  </si>
  <si>
    <t xml:space="preserve">H7</t>
  </si>
  <si>
    <t xml:space="preserve">H8</t>
  </si>
  <si>
    <t xml:space="preserve">H9</t>
  </si>
  <si>
    <t xml:space="preserve">No-fabrication % (auto)</t>
  </si>
  <si>
    <t xml:space="preserve">HP1</t>
  </si>
  <si>
    <t xml:space="preserve">HP2</t>
  </si>
  <si>
    <t xml:space="preserve">HP3</t>
  </si>
  <si>
    <t xml:space="preserve">HP4</t>
  </si>
  <si>
    <t xml:space="preserve">Positive % (auto)</t>
  </si>
  <si>
    <t xml:space="preserve">Judge</t>
  </si>
  <si>
    <t xml:space="preserve">Notes (batch run)</t>
  </si>
  <si>
    <t xml:space="preserve">Ananya</t>
  </si>
  <si>
    <t xml:space="preserve">Student, Alumnus, Club, Ticket</t>
  </si>
  <si>
    <t xml:space="preserve">Jayanta (rehearsal)</t>
  </si>
  <si>
    <t xml:space="preserve">REHEARSAL (structural prediction from the offline checker; confirm with a live run). Student + Alumnus + Club + Ticket adopted; room, block, amount and semester rejected with evidence from the data. 9/9 hidden adversarial, 4/4 hidden positive.</t>
  </si>
  <si>
    <t xml:space="preserve">Rahul</t>
  </si>
  <si>
    <t xml:space="preserve">Student, Ticket, Room, Block, Amount, Semester</t>
  </si>
  <si>
    <t xml:space="preserve">REHEARSAL (structural prediction; confirm live). Adopted four Kind 2 patterns, so H7 (Room 118), H8 (46000) and H9 (spring semester) come back falsely CONNECTED. Missed Club and Alumnus, so HP3 and HP4 fail. Blamed the LLM for the failures, not the patterns.</t>
  </si>
  <si>
    <t xml:space="preserve">Priya</t>
  </si>
  <si>
    <t xml:space="preserve">Student, Alumnus</t>
  </si>
  <si>
    <t xml:space="preserve">REHEARSAL (structural prediction; confirm live). No false links (9/9 adversarial) and good Kind 2 reasoning, but only searched for people: Ticket and Club never explored, so HP1 (HMT-58) and HP3 (RC-1) fail. Honest about the gap in her remaining-failure note.</t>
  </si>
  <si>
    <t xml:space="preserve">Meera</t>
  </si>
  <si>
    <t xml:space="preserve">Student, Club, Ticket</t>
  </si>
  <si>
    <t xml:space="preserve">REHEARSAL (structural prediction; confirm live). Used lookup tables instead of Neo4j and a different LLM provider. Student + Club + Ticket adopted, Kind 2 rejected with evidence: 9/9 hidden adversarial. Never added Alumnus, so HP4 fails (and PP3 in the public pack). Honest about it in the remaining-failure note.</t>
  </si>
  <si>
    <t xml:space="preserve">Pattern choices and rationale: score out of 100</t>
  </si>
  <si>
    <t xml:space="preserve">Coverage (40): Kind 1 patterns added beyond Student, out of 3.  Restraint (30): 30 if no Kind 2 pattern adopted, minus 10 for each one.  Rationale (30): you enter 0-30 using the guide in How to Use.</t>
  </si>
  <si>
    <t xml:space="preserve">Kind 1 added (from batch)</t>
  </si>
  <si>
    <t xml:space="preserve">Kind 2 adopted (from batch)</t>
  </si>
  <si>
    <t xml:space="preserve">Coverage (0-40, auto)</t>
  </si>
  <si>
    <t xml:space="preserve">Restraint (0-30, auto)</t>
  </si>
  <si>
    <t xml:space="preserve">Rationale quality (0-30, you enter)</t>
  </si>
  <si>
    <t xml:space="preserve">Pattern Score (0-100, auto)</t>
  </si>
  <si>
    <t xml:space="preserve">My Independent Scoring: Day 2</t>
  </si>
  <si>
    <t xml:space="preserve">Your own score sheet; keep it private from co-judges while scoring. Yellow = you fill. Green = pulled in automatically.</t>
  </si>
  <si>
    <t xml:space="preserve">Rubric weights: No fabrication 30% | Positive controls 20% | Pattern score 20% | Explaining outcomes 20% | Runs end-to-end 5% | Live demo 5%</t>
  </si>
  <si>
    <t xml:space="preserve">No-fabrication % (batch)</t>
  </si>
  <si>
    <t xml:space="preserve">Positive % (batch)</t>
  </si>
  <si>
    <t xml:space="preserve">Pattern Score (0-100)</t>
  </si>
  <si>
    <t xml:space="preserve">Explaining outcomes (0-100)</t>
  </si>
  <si>
    <t xml:space="preserve">Runs end-to-end (0 or 100)</t>
  </si>
  <si>
    <t xml:space="preserve">Live demo clarity (0-100)</t>
  </si>
  <si>
    <t xml:space="preserve">Weighted Total</t>
  </si>
  <si>
    <t xml:space="preserve">Rank</t>
  </si>
  <si>
    <t xml:space="preserve">Checkpoint Q asked</t>
  </si>
  <si>
    <t xml:space="preserve">Team's answer (brief)</t>
  </si>
  <si>
    <t xml:space="preserve">Judge notes</t>
  </si>
  <si>
    <t xml:space="preserve">Pick one row of your outcomes table and tell me why it came out that way.</t>
  </si>
  <si>
    <t xml:space="preserve">Walked through P5 (Room 214): both records mention it, but a room is reused by unrelated events, so the pattern was rejected.</t>
  </si>
  <si>
    <t xml:space="preserve">Clear Kind 1 vs Kind 2 reasoning, backed by data. Named the retrieval top-3 limit as the failure that remains.</t>
  </si>
  <si>
    <t xml:space="preserve">Why does P5 come back CONNECTED?</t>
  </si>
  <si>
    <t xml:space="preserve">Thought the LLM over-trusted the graph fact; had not looked at which pattern created the link.</t>
  </si>
  <si>
    <t xml:space="preserve">Four Kind 2 patterns adopted. Wrong diagnosis of the failures: the graph is doing exactly what the registry told it to.</t>
  </si>
  <si>
    <t xml:space="preserve">Which strings in the data did you not check?</t>
  </si>
  <si>
    <t xml:space="preserve">Admitted only looking at people; had not examined ticket or club codes.</t>
  </si>
  <si>
    <t xml:space="preserve">Strong restraint on Kind 2, but incomplete exploration of Kind 1. Honest about the gap.</t>
  </si>
  <si>
    <t xml:space="preserve">Your graph is a lookup table. Explain what graph_check does, and why Alumnus is missing.</t>
  </si>
  <si>
    <t xml:space="preserve">Described the record -&gt; entity -&gt; record walk and the 6-hop limit; said Alumnus was missed when she stopped exploring after three patterns.</t>
  </si>
  <si>
    <t xml:space="preserve">Lookup-table graph is correct and matches the Neo4j contract. Good restraint on Kind 2; incomplete Kind 1 exploration, honestly reported.</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</si>
</sst>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sz val="10"/>
      <color rgb="FF595959"/>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s>
  <fills count="5">
    <fill>
      <patternFill patternType="none"/>
    </fill>
    <fill>
      <patternFill patternType="gray125"/>
    </fill>
    <fill>
      <patternFill patternType="solid">
        <fgColor rgb="FF2F5496"/>
        <bgColor rgb="FF595959"/>
      </patternFill>
    </fill>
    <fill>
      <patternFill patternType="solid">
        <fgColor rgb="FFFFFF00"/>
        <bgColor rgb="FFFFFF00"/>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row>
    <row r="3" customFormat="false" ht="26.8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2" t="s">
        <v>2</v>
      </c>
    </row>
    <row r="6" customFormat="false" ht="15" hidden="false" customHeight="false" outlineLevel="0" collapsed="false">
      <c r="A6" s="2"/>
    </row>
    <row r="7" customFormat="false" ht="15" hidden="false" customHeight="false" outlineLevel="0" collapsed="false">
      <c r="A7" s="3" t="s">
        <v>3</v>
      </c>
    </row>
    <row r="8" customFormat="false" ht="26.85" hidden="false" customHeight="false" outlineLevel="0" collapsed="false">
      <c r="A8" s="2" t="s">
        <v>4</v>
      </c>
    </row>
    <row r="9" customFormat="false" ht="26.85" hidden="false" customHeight="false" outlineLevel="0" collapsed="false">
      <c r="A9" s="2" t="s">
        <v>5</v>
      </c>
    </row>
    <row r="10" customFormat="false" ht="26.85" hidden="false" customHeight="false" outlineLevel="0" collapsed="false">
      <c r="A10" s="2" t="s">
        <v>6</v>
      </c>
    </row>
    <row r="11" customFormat="false" ht="26.85" hidden="false" customHeight="false" outlineLevel="0" collapsed="false">
      <c r="A11" s="2" t="s">
        <v>7</v>
      </c>
    </row>
    <row r="12" customFormat="false" ht="26.8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row>
    <row r="15" customFormat="false" ht="15" hidden="false" customHeight="false" outlineLevel="0" collapsed="false">
      <c r="A15" s="3" t="s">
        <v>10</v>
      </c>
    </row>
    <row r="16" customFormat="false" ht="15" hidden="false" customHeight="false" outlineLevel="0" collapsed="false">
      <c r="A16" s="2" t="s">
        <v>11</v>
      </c>
    </row>
    <row r="17" customFormat="false" ht="26.85" hidden="false" customHeight="false" outlineLevel="0" collapsed="false">
      <c r="A17" s="2" t="s">
        <v>12</v>
      </c>
    </row>
    <row r="18" customFormat="false" ht="15" hidden="false" customHeight="false" outlineLevel="0" collapsed="false">
      <c r="A18" s="2" t="s">
        <v>13</v>
      </c>
    </row>
    <row r="19" customFormat="false" ht="15" hidden="false" customHeight="false" outlineLevel="0" collapsed="false">
      <c r="A19" s="2"/>
    </row>
    <row r="20" customFormat="false" ht="15" hidden="false" customHeight="false" outlineLevel="0" collapsed="false">
      <c r="A20" s="3" t="s">
        <v>14</v>
      </c>
    </row>
    <row r="21" customFormat="false" ht="26.85" hidden="false" customHeight="false" outlineLevel="0" collapsed="false">
      <c r="A21" s="2" t="s">
        <v>15</v>
      </c>
    </row>
    <row r="22" customFormat="false" ht="26.85" hidden="false" customHeight="false" outlineLevel="0" collapsed="false">
      <c r="A22" s="2" t="s">
        <v>16</v>
      </c>
    </row>
    <row r="23" customFormat="false" ht="15" hidden="false" customHeight="false" outlineLevel="0" collapsed="false">
      <c r="A23" s="2" t="s">
        <v>17</v>
      </c>
    </row>
    <row r="24" customFormat="false" ht="15" hidden="false" customHeight="false" outlineLevel="0" collapsed="false">
      <c r="A24" s="2"/>
    </row>
    <row r="25" customFormat="false" ht="15" hidden="false" customHeight="false" outlineLevel="0" collapsed="false">
      <c r="A25" s="2" t="s">
        <v>18</v>
      </c>
    </row>
    <row r="26" customFormat="false" ht="26.85" hidden="false" customHeight="false" outlineLevel="0" collapsed="false">
      <c r="A26" s="2" t="s">
        <v>19</v>
      </c>
    </row>
    <row r="27" customFormat="false" ht="15" hidden="false" customHeight="false" outlineLevel="0" collapsed="false">
      <c r="A27" s="2"/>
    </row>
    <row r="28" customFormat="false" ht="26.85" hidden="false" customHeight="false" outlineLevel="0" collapsed="false">
      <c r="A28" s="3" t="s">
        <v>20</v>
      </c>
    </row>
    <row r="29" customFormat="false" ht="15" hidden="false" customHeight="false" outlineLevel="0" collapsed="false">
      <c r="A29" s="2"/>
    </row>
    <row r="30" customFormat="false" ht="26.85" hidden="false" customHeight="false" outlineLevel="0" collapsed="false">
      <c r="A30"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14" min="6" style="0" width="6"/>
    <col collapsed="false" customWidth="true" hidden="false" outlineLevel="0" max="15" min="15" style="0" width="14"/>
    <col collapsed="false" customWidth="true" hidden="false" outlineLevel="0" max="19" min="16" style="0" width="6"/>
    <col collapsed="false" customWidth="true" hidden="false" outlineLevel="0" max="20" min="20" style="0" width="13"/>
    <col collapsed="false" customWidth="true" hidden="false" outlineLevel="0" max="21" min="21" style="0" width="18"/>
    <col collapsed="false" customWidth="true" hidden="false" outlineLevel="0" max="22" min="22" style="0" width="70"/>
  </cols>
  <sheetData>
    <row r="1" customFormat="false" ht="17.35" hidden="false" customHeight="false" outlineLevel="0" collapsed="false">
      <c r="A1" s="4" t="s">
        <v>22</v>
      </c>
      <c r="B1" s="4"/>
      <c r="C1" s="4"/>
      <c r="D1" s="4"/>
      <c r="E1" s="4"/>
      <c r="F1" s="4"/>
      <c r="G1" s="4"/>
      <c r="H1" s="4"/>
      <c r="I1" s="4"/>
      <c r="J1" s="4"/>
      <c r="K1" s="4"/>
      <c r="L1" s="4"/>
      <c r="M1" s="4"/>
      <c r="N1" s="4"/>
      <c r="O1" s="4"/>
      <c r="P1" s="4"/>
      <c r="Q1" s="4"/>
      <c r="R1" s="4"/>
      <c r="S1" s="4"/>
      <c r="T1" s="4"/>
      <c r="U1" s="4"/>
      <c r="V1" s="4"/>
    </row>
    <row r="2" customFormat="false" ht="42" hidden="false" customHeight="true" outlineLevel="0" collapsed="false">
      <c r="A2" s="5" t="s">
        <v>23</v>
      </c>
      <c r="B2" s="5"/>
      <c r="C2" s="5"/>
      <c r="D2" s="5"/>
      <c r="E2" s="5"/>
      <c r="F2" s="5"/>
      <c r="G2" s="5"/>
      <c r="H2" s="5"/>
      <c r="I2" s="5"/>
      <c r="J2" s="5"/>
      <c r="K2" s="5"/>
      <c r="L2" s="5"/>
      <c r="M2" s="5"/>
      <c r="N2" s="5"/>
      <c r="O2" s="5"/>
      <c r="P2" s="5"/>
      <c r="Q2" s="5"/>
      <c r="R2" s="5"/>
      <c r="S2" s="5"/>
      <c r="T2" s="5"/>
      <c r="U2" s="5"/>
      <c r="V2" s="5"/>
    </row>
    <row r="4" customFormat="false" ht="48" hidden="false" customHeight="true" outlineLevel="0" collapsed="false">
      <c r="A4" s="6" t="s">
        <v>24</v>
      </c>
      <c r="B4" s="6" t="s">
        <v>25</v>
      </c>
      <c r="C4" s="6" t="s">
        <v>26</v>
      </c>
      <c r="D4" s="6" t="s">
        <v>27</v>
      </c>
      <c r="E4" s="6" t="s">
        <v>28</v>
      </c>
      <c r="F4" s="6" t="s">
        <v>29</v>
      </c>
      <c r="G4" s="6" t="s">
        <v>30</v>
      </c>
      <c r="H4" s="6" t="s">
        <v>31</v>
      </c>
      <c r="I4" s="6" t="s">
        <v>32</v>
      </c>
      <c r="J4" s="6" t="s">
        <v>33</v>
      </c>
      <c r="K4" s="6" t="s">
        <v>34</v>
      </c>
      <c r="L4" s="6" t="s">
        <v>35</v>
      </c>
      <c r="M4" s="6" t="s">
        <v>36</v>
      </c>
      <c r="N4" s="6" t="s">
        <v>37</v>
      </c>
      <c r="O4" s="6" t="s">
        <v>38</v>
      </c>
      <c r="P4" s="6" t="s">
        <v>39</v>
      </c>
      <c r="Q4" s="6" t="s">
        <v>40</v>
      </c>
      <c r="R4" s="6" t="s">
        <v>41</v>
      </c>
      <c r="S4" s="6" t="s">
        <v>42</v>
      </c>
      <c r="T4" s="6" t="s">
        <v>43</v>
      </c>
      <c r="U4" s="6" t="s">
        <v>44</v>
      </c>
      <c r="V4" s="6" t="s">
        <v>45</v>
      </c>
    </row>
    <row r="5" customFormat="false" ht="61.5" hidden="false" customHeight="true" outlineLevel="0" collapsed="false">
      <c r="A5" s="7" t="n">
        <v>1</v>
      </c>
      <c r="B5" s="8" t="s">
        <v>46</v>
      </c>
      <c r="C5" s="9" t="s">
        <v>47</v>
      </c>
      <c r="D5" s="8" t="n">
        <v>3</v>
      </c>
      <c r="E5" s="8" t="n">
        <v>0</v>
      </c>
      <c r="F5" s="8" t="n">
        <v>1</v>
      </c>
      <c r="G5" s="8" t="n">
        <v>1</v>
      </c>
      <c r="H5" s="8" t="n">
        <v>1</v>
      </c>
      <c r="I5" s="8" t="n">
        <v>1</v>
      </c>
      <c r="J5" s="8" t="n">
        <v>1</v>
      </c>
      <c r="K5" s="8" t="n">
        <v>1</v>
      </c>
      <c r="L5" s="8" t="n">
        <v>1</v>
      </c>
      <c r="M5" s="8" t="n">
        <v>1</v>
      </c>
      <c r="N5" s="8" t="n">
        <v>1</v>
      </c>
      <c r="O5" s="10" t="n">
        <f aca="false">IFERROR(AVERAGE(F5:N5)*100,"")</f>
        <v>100</v>
      </c>
      <c r="P5" s="8" t="n">
        <v>1</v>
      </c>
      <c r="Q5" s="8" t="n">
        <v>1</v>
      </c>
      <c r="R5" s="8" t="n">
        <v>1</v>
      </c>
      <c r="S5" s="8" t="n">
        <v>1</v>
      </c>
      <c r="T5" s="10" t="n">
        <f aca="false">IFERROR(AVERAGE(P5:S5)*100,"")</f>
        <v>100</v>
      </c>
      <c r="U5" s="8" t="s">
        <v>48</v>
      </c>
      <c r="V5" s="9" t="s">
        <v>49</v>
      </c>
    </row>
    <row r="6" customFormat="false" ht="61.5" hidden="false" customHeight="true" outlineLevel="0" collapsed="false">
      <c r="A6" s="7" t="n">
        <v>2</v>
      </c>
      <c r="B6" s="8" t="s">
        <v>50</v>
      </c>
      <c r="C6" s="9" t="s">
        <v>51</v>
      </c>
      <c r="D6" s="8" t="n">
        <v>1</v>
      </c>
      <c r="E6" s="8" t="n">
        <v>4</v>
      </c>
      <c r="F6" s="8" t="n">
        <v>1</v>
      </c>
      <c r="G6" s="8" t="n">
        <v>1</v>
      </c>
      <c r="H6" s="8" t="n">
        <v>1</v>
      </c>
      <c r="I6" s="8" t="n">
        <v>1</v>
      </c>
      <c r="J6" s="8" t="n">
        <v>1</v>
      </c>
      <c r="K6" s="8" t="n">
        <v>1</v>
      </c>
      <c r="L6" s="8" t="n">
        <v>0</v>
      </c>
      <c r="M6" s="8" t="n">
        <v>0</v>
      </c>
      <c r="N6" s="8" t="n">
        <v>0</v>
      </c>
      <c r="O6" s="10" t="n">
        <f aca="false">IFERROR(AVERAGE(F6:N6)*100,"")</f>
        <v>66.6666666666667</v>
      </c>
      <c r="P6" s="8" t="n">
        <v>1</v>
      </c>
      <c r="Q6" s="8" t="n">
        <v>1</v>
      </c>
      <c r="R6" s="8" t="n">
        <v>0</v>
      </c>
      <c r="S6" s="8" t="n">
        <v>0</v>
      </c>
      <c r="T6" s="10" t="n">
        <f aca="false">IFERROR(AVERAGE(P6:S6)*100,"")</f>
        <v>50</v>
      </c>
      <c r="U6" s="8" t="s">
        <v>48</v>
      </c>
      <c r="V6" s="9" t="s">
        <v>52</v>
      </c>
    </row>
    <row r="7" customFormat="false" ht="61.5" hidden="false" customHeight="true" outlineLevel="0" collapsed="false">
      <c r="A7" s="7" t="n">
        <v>3</v>
      </c>
      <c r="B7" s="8" t="s">
        <v>53</v>
      </c>
      <c r="C7" s="9" t="s">
        <v>54</v>
      </c>
      <c r="D7" s="8" t="n">
        <v>1</v>
      </c>
      <c r="E7" s="8" t="n">
        <v>0</v>
      </c>
      <c r="F7" s="8" t="n">
        <v>1</v>
      </c>
      <c r="G7" s="8" t="n">
        <v>1</v>
      </c>
      <c r="H7" s="8" t="n">
        <v>1</v>
      </c>
      <c r="I7" s="8" t="n">
        <v>1</v>
      </c>
      <c r="J7" s="8" t="n">
        <v>1</v>
      </c>
      <c r="K7" s="8" t="n">
        <v>1</v>
      </c>
      <c r="L7" s="8" t="n">
        <v>1</v>
      </c>
      <c r="M7" s="8" t="n">
        <v>1</v>
      </c>
      <c r="N7" s="8" t="n">
        <v>1</v>
      </c>
      <c r="O7" s="10" t="n">
        <f aca="false">IFERROR(AVERAGE(F7:N7)*100,"")</f>
        <v>100</v>
      </c>
      <c r="P7" s="8" t="n">
        <v>0</v>
      </c>
      <c r="Q7" s="8" t="n">
        <v>1</v>
      </c>
      <c r="R7" s="8" t="n">
        <v>0</v>
      </c>
      <c r="S7" s="8" t="n">
        <v>1</v>
      </c>
      <c r="T7" s="10" t="n">
        <f aca="false">IFERROR(AVERAGE(P7:S7)*100,"")</f>
        <v>50</v>
      </c>
      <c r="U7" s="8" t="s">
        <v>48</v>
      </c>
      <c r="V7" s="9" t="s">
        <v>55</v>
      </c>
    </row>
    <row r="8" customFormat="false" ht="61.5" hidden="false" customHeight="true" outlineLevel="0" collapsed="false">
      <c r="A8" s="7" t="n">
        <v>4</v>
      </c>
      <c r="B8" s="8" t="s">
        <v>56</v>
      </c>
      <c r="C8" s="9" t="s">
        <v>57</v>
      </c>
      <c r="D8" s="8" t="n">
        <v>2</v>
      </c>
      <c r="E8" s="8" t="n">
        <v>0</v>
      </c>
      <c r="F8" s="8" t="n">
        <v>1</v>
      </c>
      <c r="G8" s="8" t="n">
        <v>1</v>
      </c>
      <c r="H8" s="8" t="n">
        <v>1</v>
      </c>
      <c r="I8" s="8" t="n">
        <v>1</v>
      </c>
      <c r="J8" s="8" t="n">
        <v>1</v>
      </c>
      <c r="K8" s="8" t="n">
        <v>1</v>
      </c>
      <c r="L8" s="8" t="n">
        <v>1</v>
      </c>
      <c r="M8" s="8" t="n">
        <v>1</v>
      </c>
      <c r="N8" s="8" t="n">
        <v>1</v>
      </c>
      <c r="O8" s="10" t="n">
        <f aca="false">IFERROR(AVERAGE(F8:N8)*100,"")</f>
        <v>100</v>
      </c>
      <c r="P8" s="8" t="n">
        <v>1</v>
      </c>
      <c r="Q8" s="8" t="n">
        <v>1</v>
      </c>
      <c r="R8" s="8" t="n">
        <v>1</v>
      </c>
      <c r="S8" s="8" t="n">
        <v>0</v>
      </c>
      <c r="T8" s="10" t="n">
        <f aca="false">IFERROR(AVERAGE(P8:S8)*100,"")</f>
        <v>75</v>
      </c>
      <c r="U8" s="8" t="s">
        <v>48</v>
      </c>
      <c r="V8" s="9" t="s">
        <v>58</v>
      </c>
    </row>
    <row r="9" customFormat="false" ht="15" hidden="false" customHeight="false" outlineLevel="0" collapsed="false">
      <c r="A9" s="7" t="n">
        <v>5</v>
      </c>
      <c r="B9" s="8"/>
      <c r="C9" s="9"/>
      <c r="D9" s="8"/>
      <c r="E9" s="8"/>
      <c r="F9" s="8"/>
      <c r="G9" s="8"/>
      <c r="H9" s="8"/>
      <c r="I9" s="8"/>
      <c r="J9" s="8"/>
      <c r="K9" s="8"/>
      <c r="L9" s="8"/>
      <c r="M9" s="8"/>
      <c r="N9" s="8"/>
      <c r="O9" s="10" t="str">
        <f aca="false">IFERROR(AVERAGE(F9:N9)*100,"")</f>
        <v/>
      </c>
      <c r="P9" s="8"/>
      <c r="Q9" s="8"/>
      <c r="R9" s="8"/>
      <c r="S9" s="8"/>
      <c r="T9" s="10" t="str">
        <f aca="false">IFERROR(AVERAGE(P9:S9)*100,"")</f>
        <v/>
      </c>
      <c r="U9" s="8"/>
      <c r="V9" s="9"/>
    </row>
    <row r="10" customFormat="false" ht="15" hidden="false" customHeight="false" outlineLevel="0" collapsed="false">
      <c r="A10" s="7" t="n">
        <v>6</v>
      </c>
      <c r="B10" s="8"/>
      <c r="C10" s="9"/>
      <c r="D10" s="8"/>
      <c r="E10" s="8"/>
      <c r="F10" s="8"/>
      <c r="G10" s="8"/>
      <c r="H10" s="8"/>
      <c r="I10" s="8"/>
      <c r="J10" s="8"/>
      <c r="K10" s="8"/>
      <c r="L10" s="8"/>
      <c r="M10" s="8"/>
      <c r="N10" s="8"/>
      <c r="O10" s="10" t="str">
        <f aca="false">IFERROR(AVERAGE(F10:N10)*100,"")</f>
        <v/>
      </c>
      <c r="P10" s="8"/>
      <c r="Q10" s="8"/>
      <c r="R10" s="8"/>
      <c r="S10" s="8"/>
      <c r="T10" s="10" t="str">
        <f aca="false">IFERROR(AVERAGE(P10:S10)*100,"")</f>
        <v/>
      </c>
      <c r="U10" s="8"/>
      <c r="V10" s="9"/>
    </row>
    <row r="11" customFormat="false" ht="15" hidden="false" customHeight="false" outlineLevel="0" collapsed="false">
      <c r="A11" s="7" t="n">
        <v>7</v>
      </c>
      <c r="B11" s="8"/>
      <c r="C11" s="9"/>
      <c r="D11" s="8"/>
      <c r="E11" s="8"/>
      <c r="F11" s="8"/>
      <c r="G11" s="8"/>
      <c r="H11" s="8"/>
      <c r="I11" s="8"/>
      <c r="J11" s="8"/>
      <c r="K11" s="8"/>
      <c r="L11" s="8"/>
      <c r="M11" s="8"/>
      <c r="N11" s="8"/>
      <c r="O11" s="10" t="str">
        <f aca="false">IFERROR(AVERAGE(F11:N11)*100,"")</f>
        <v/>
      </c>
      <c r="P11" s="8"/>
      <c r="Q11" s="8"/>
      <c r="R11" s="8"/>
      <c r="S11" s="8"/>
      <c r="T11" s="10" t="str">
        <f aca="false">IFERROR(AVERAGE(P11:S11)*100,"")</f>
        <v/>
      </c>
      <c r="U11" s="8"/>
      <c r="V11" s="9"/>
    </row>
    <row r="12" customFormat="false" ht="15" hidden="false" customHeight="false" outlineLevel="0" collapsed="false">
      <c r="A12" s="7" t="n">
        <v>8</v>
      </c>
      <c r="B12" s="8"/>
      <c r="C12" s="9"/>
      <c r="D12" s="8"/>
      <c r="E12" s="8"/>
      <c r="F12" s="8"/>
      <c r="G12" s="8"/>
      <c r="H12" s="8"/>
      <c r="I12" s="8"/>
      <c r="J12" s="8"/>
      <c r="K12" s="8"/>
      <c r="L12" s="8"/>
      <c r="M12" s="8"/>
      <c r="N12" s="8"/>
      <c r="O12" s="10" t="str">
        <f aca="false">IFERROR(AVERAGE(F12:N12)*100,"")</f>
        <v/>
      </c>
      <c r="P12" s="8"/>
      <c r="Q12" s="8"/>
      <c r="R12" s="8"/>
      <c r="S12" s="8"/>
      <c r="T12" s="10" t="str">
        <f aca="false">IFERROR(AVERAGE(P12:S12)*100,"")</f>
        <v/>
      </c>
      <c r="U12" s="8"/>
      <c r="V12" s="9"/>
    </row>
    <row r="13" customFormat="false" ht="15" hidden="false" customHeight="false" outlineLevel="0" collapsed="false">
      <c r="A13" s="7" t="n">
        <v>9</v>
      </c>
      <c r="B13" s="8"/>
      <c r="C13" s="9"/>
      <c r="D13" s="8"/>
      <c r="E13" s="8"/>
      <c r="F13" s="8"/>
      <c r="G13" s="8"/>
      <c r="H13" s="8"/>
      <c r="I13" s="8"/>
      <c r="J13" s="8"/>
      <c r="K13" s="8"/>
      <c r="L13" s="8"/>
      <c r="M13" s="8"/>
      <c r="N13" s="8"/>
      <c r="O13" s="10" t="str">
        <f aca="false">IFERROR(AVERAGE(F13:N13)*100,"")</f>
        <v/>
      </c>
      <c r="P13" s="8"/>
      <c r="Q13" s="8"/>
      <c r="R13" s="8"/>
      <c r="S13" s="8"/>
      <c r="T13" s="10" t="str">
        <f aca="false">IFERROR(AVERAGE(P13:S13)*100,"")</f>
        <v/>
      </c>
      <c r="U13" s="8"/>
      <c r="V13" s="9"/>
    </row>
    <row r="14" customFormat="false" ht="15" hidden="false" customHeight="false" outlineLevel="0" collapsed="false">
      <c r="A14" s="7" t="n">
        <v>10</v>
      </c>
      <c r="B14" s="8"/>
      <c r="C14" s="9"/>
      <c r="D14" s="8"/>
      <c r="E14" s="8"/>
      <c r="F14" s="8"/>
      <c r="G14" s="8"/>
      <c r="H14" s="8"/>
      <c r="I14" s="8"/>
      <c r="J14" s="8"/>
      <c r="K14" s="8"/>
      <c r="L14" s="8"/>
      <c r="M14" s="8"/>
      <c r="N14" s="8"/>
      <c r="O14" s="10" t="str">
        <f aca="false">IFERROR(AVERAGE(F14:N14)*100,"")</f>
        <v/>
      </c>
      <c r="P14" s="8"/>
      <c r="Q14" s="8"/>
      <c r="R14" s="8"/>
      <c r="S14" s="8"/>
      <c r="T14" s="10" t="str">
        <f aca="false">IFERROR(AVERAGE(P14:S14)*100,"")</f>
        <v/>
      </c>
      <c r="U14" s="8"/>
      <c r="V14" s="9"/>
    </row>
    <row r="15" customFormat="false" ht="15" hidden="false" customHeight="false" outlineLevel="0" collapsed="false">
      <c r="A15" s="7" t="n">
        <v>11</v>
      </c>
      <c r="B15" s="8"/>
      <c r="C15" s="9"/>
      <c r="D15" s="8"/>
      <c r="E15" s="8"/>
      <c r="F15" s="8"/>
      <c r="G15" s="8"/>
      <c r="H15" s="8"/>
      <c r="I15" s="8"/>
      <c r="J15" s="8"/>
      <c r="K15" s="8"/>
      <c r="L15" s="8"/>
      <c r="M15" s="8"/>
      <c r="N15" s="8"/>
      <c r="O15" s="10" t="str">
        <f aca="false">IFERROR(AVERAGE(F15:N15)*100,"")</f>
        <v/>
      </c>
      <c r="P15" s="8"/>
      <c r="Q15" s="8"/>
      <c r="R15" s="8"/>
      <c r="S15" s="8"/>
      <c r="T15" s="10" t="str">
        <f aca="false">IFERROR(AVERAGE(P15:S15)*100,"")</f>
        <v/>
      </c>
      <c r="U15" s="8"/>
      <c r="V15" s="9"/>
    </row>
    <row r="16" customFormat="false" ht="15" hidden="false" customHeight="false" outlineLevel="0" collapsed="false">
      <c r="A16" s="7" t="n">
        <v>12</v>
      </c>
      <c r="B16" s="8"/>
      <c r="C16" s="9"/>
      <c r="D16" s="8"/>
      <c r="E16" s="8"/>
      <c r="F16" s="8"/>
      <c r="G16" s="8"/>
      <c r="H16" s="8"/>
      <c r="I16" s="8"/>
      <c r="J16" s="8"/>
      <c r="K16" s="8"/>
      <c r="L16" s="8"/>
      <c r="M16" s="8"/>
      <c r="N16" s="8"/>
      <c r="O16" s="10" t="str">
        <f aca="false">IFERROR(AVERAGE(F16:N16)*100,"")</f>
        <v/>
      </c>
      <c r="P16" s="8"/>
      <c r="Q16" s="8"/>
      <c r="R16" s="8"/>
      <c r="S16" s="8"/>
      <c r="T16" s="10" t="str">
        <f aca="false">IFERROR(AVERAGE(P16:S16)*100,"")</f>
        <v/>
      </c>
      <c r="U16" s="8"/>
      <c r="V16" s="9"/>
    </row>
    <row r="17" customFormat="false" ht="15" hidden="false" customHeight="false" outlineLevel="0" collapsed="false">
      <c r="A17" s="7" t="n">
        <v>13</v>
      </c>
      <c r="B17" s="8"/>
      <c r="C17" s="9"/>
      <c r="D17" s="8"/>
      <c r="E17" s="8"/>
      <c r="F17" s="8"/>
      <c r="G17" s="8"/>
      <c r="H17" s="8"/>
      <c r="I17" s="8"/>
      <c r="J17" s="8"/>
      <c r="K17" s="8"/>
      <c r="L17" s="8"/>
      <c r="M17" s="8"/>
      <c r="N17" s="8"/>
      <c r="O17" s="10" t="str">
        <f aca="false">IFERROR(AVERAGE(F17:N17)*100,"")</f>
        <v/>
      </c>
      <c r="P17" s="8"/>
      <c r="Q17" s="8"/>
      <c r="R17" s="8"/>
      <c r="S17" s="8"/>
      <c r="T17" s="10" t="str">
        <f aca="false">IFERROR(AVERAGE(P17:S17)*100,"")</f>
        <v/>
      </c>
      <c r="U17" s="8"/>
      <c r="V17" s="9"/>
    </row>
    <row r="18" customFormat="false" ht="15" hidden="false" customHeight="false" outlineLevel="0" collapsed="false">
      <c r="A18" s="7" t="n">
        <v>14</v>
      </c>
      <c r="B18" s="8"/>
      <c r="C18" s="9"/>
      <c r="D18" s="8"/>
      <c r="E18" s="8"/>
      <c r="F18" s="8"/>
      <c r="G18" s="8"/>
      <c r="H18" s="8"/>
      <c r="I18" s="8"/>
      <c r="J18" s="8"/>
      <c r="K18" s="8"/>
      <c r="L18" s="8"/>
      <c r="M18" s="8"/>
      <c r="N18" s="8"/>
      <c r="O18" s="10" t="str">
        <f aca="false">IFERROR(AVERAGE(F18:N18)*100,"")</f>
        <v/>
      </c>
      <c r="P18" s="8"/>
      <c r="Q18" s="8"/>
      <c r="R18" s="8"/>
      <c r="S18" s="8"/>
      <c r="T18" s="10" t="str">
        <f aca="false">IFERROR(AVERAGE(P18:S18)*100,"")</f>
        <v/>
      </c>
      <c r="U18" s="8"/>
      <c r="V18" s="9"/>
    </row>
    <row r="19" customFormat="false" ht="15" hidden="false" customHeight="false" outlineLevel="0" collapsed="false">
      <c r="A19" s="7" t="n">
        <v>15</v>
      </c>
      <c r="B19" s="8"/>
      <c r="C19" s="9"/>
      <c r="D19" s="8"/>
      <c r="E19" s="8"/>
      <c r="F19" s="8"/>
      <c r="G19" s="8"/>
      <c r="H19" s="8"/>
      <c r="I19" s="8"/>
      <c r="J19" s="8"/>
      <c r="K19" s="8"/>
      <c r="L19" s="8"/>
      <c r="M19" s="8"/>
      <c r="N19" s="8"/>
      <c r="O19" s="10" t="str">
        <f aca="false">IFERROR(AVERAGE(F19:N19)*100,"")</f>
        <v/>
      </c>
      <c r="P19" s="8"/>
      <c r="Q19" s="8"/>
      <c r="R19" s="8"/>
      <c r="S19" s="8"/>
      <c r="T19" s="10" t="str">
        <f aca="false">IFERROR(AVERAGE(P19:S19)*100,"")</f>
        <v/>
      </c>
      <c r="U19" s="8"/>
      <c r="V19" s="9"/>
    </row>
  </sheetData>
  <mergeCells count="2">
    <mergeCell ref="A1:V1"/>
    <mergeCell ref="A2:V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6" min="3" style="0" width="14"/>
    <col collapsed="false" customWidth="true" hidden="false" outlineLevel="0" max="8" min="7" style="0" width="16"/>
  </cols>
  <sheetData>
    <row r="1" customFormat="false" ht="17.35" hidden="false" customHeight="false" outlineLevel="0" collapsed="false">
      <c r="A1" s="4" t="s">
        <v>59</v>
      </c>
      <c r="B1" s="4"/>
      <c r="C1" s="4"/>
      <c r="D1" s="4"/>
      <c r="E1" s="4"/>
      <c r="F1" s="4"/>
      <c r="G1" s="4"/>
      <c r="H1" s="4"/>
    </row>
    <row r="2" customFormat="false" ht="33.75" hidden="false" customHeight="true" outlineLevel="0" collapsed="false">
      <c r="A2" s="5" t="s">
        <v>60</v>
      </c>
      <c r="B2" s="5"/>
      <c r="C2" s="5"/>
      <c r="D2" s="5"/>
      <c r="E2" s="5"/>
      <c r="F2" s="5"/>
      <c r="G2" s="5"/>
      <c r="H2" s="5"/>
    </row>
    <row r="4" customFormat="false" ht="48" hidden="false" customHeight="true" outlineLevel="0" collapsed="false">
      <c r="A4" s="6" t="s">
        <v>24</v>
      </c>
      <c r="B4" s="6" t="s">
        <v>25</v>
      </c>
      <c r="C4" s="6" t="s">
        <v>61</v>
      </c>
      <c r="D4" s="6" t="s">
        <v>62</v>
      </c>
      <c r="E4" s="6" t="s">
        <v>63</v>
      </c>
      <c r="F4" s="6" t="s">
        <v>64</v>
      </c>
      <c r="G4" s="6" t="s">
        <v>65</v>
      </c>
      <c r="H4" s="6" t="s">
        <v>66</v>
      </c>
    </row>
    <row r="5" customFormat="false" ht="15" hidden="false" customHeight="false" outlineLevel="0" collapsed="false">
      <c r="A5" s="10" t="n">
        <f aca="false">'Batch Test Results'!A5</f>
        <v>1</v>
      </c>
      <c r="B5" s="10" t="str">
        <f aca="false">'Batch Test Results'!B5</f>
        <v>Ananya</v>
      </c>
      <c r="C5" s="10" t="n">
        <f aca="false">'Batch Test Results'!D5</f>
        <v>3</v>
      </c>
      <c r="D5" s="10" t="n">
        <f aca="false">'Batch Test Results'!E5</f>
        <v>0</v>
      </c>
      <c r="E5" s="10" t="n">
        <f aca="false">IF(B5="","",MIN(3,MAX(0,C5))/3*40)</f>
        <v>40</v>
      </c>
      <c r="F5" s="10" t="n">
        <f aca="false">IF(B5="","",MAX(0,30-10*D5))</f>
        <v>30</v>
      </c>
      <c r="G5" s="8" t="n">
        <v>28</v>
      </c>
      <c r="H5" s="10" t="n">
        <f aca="false">IF(OR(B5="",G5=""),"",E5+F5+G5)</f>
        <v>98</v>
      </c>
    </row>
    <row r="6" customFormat="false" ht="15" hidden="false" customHeight="false" outlineLevel="0" collapsed="false">
      <c r="A6" s="10" t="n">
        <f aca="false">'Batch Test Results'!A6</f>
        <v>2</v>
      </c>
      <c r="B6" s="10" t="str">
        <f aca="false">'Batch Test Results'!B6</f>
        <v>Rahul</v>
      </c>
      <c r="C6" s="10" t="n">
        <f aca="false">'Batch Test Results'!D6</f>
        <v>1</v>
      </c>
      <c r="D6" s="10" t="n">
        <f aca="false">'Batch Test Results'!E6</f>
        <v>4</v>
      </c>
      <c r="E6" s="10" t="n">
        <f aca="false">IF(B6="","",MIN(3,MAX(0,C6))/3*40)</f>
        <v>13.3333333333333</v>
      </c>
      <c r="F6" s="10" t="n">
        <f aca="false">IF(B6="","",MAX(0,30-10*D6))</f>
        <v>0</v>
      </c>
      <c r="G6" s="8" t="n">
        <v>10</v>
      </c>
      <c r="H6" s="10" t="n">
        <f aca="false">IF(OR(B6="",G6=""),"",E6+F6+G6)</f>
        <v>23.3333333333333</v>
      </c>
    </row>
    <row r="7" customFormat="false" ht="15" hidden="false" customHeight="false" outlineLevel="0" collapsed="false">
      <c r="A7" s="10" t="n">
        <f aca="false">'Batch Test Results'!A7</f>
        <v>3</v>
      </c>
      <c r="B7" s="10" t="str">
        <f aca="false">'Batch Test Results'!B7</f>
        <v>Priya</v>
      </c>
      <c r="C7" s="10" t="n">
        <f aca="false">'Batch Test Results'!D7</f>
        <v>1</v>
      </c>
      <c r="D7" s="10" t="n">
        <f aca="false">'Batch Test Results'!E7</f>
        <v>0</v>
      </c>
      <c r="E7" s="10" t="n">
        <f aca="false">IF(B7="","",MIN(3,MAX(0,C7))/3*40)</f>
        <v>13.3333333333333</v>
      </c>
      <c r="F7" s="10" t="n">
        <f aca="false">IF(B7="","",MAX(0,30-10*D7))</f>
        <v>30</v>
      </c>
      <c r="G7" s="8" t="n">
        <v>22</v>
      </c>
      <c r="H7" s="10" t="n">
        <f aca="false">IF(OR(B7="",G7=""),"",E7+F7+G7)</f>
        <v>65.3333333333333</v>
      </c>
    </row>
    <row r="8" customFormat="false" ht="15" hidden="false" customHeight="false" outlineLevel="0" collapsed="false">
      <c r="A8" s="10" t="n">
        <f aca="false">'Batch Test Results'!A8</f>
        <v>4</v>
      </c>
      <c r="B8" s="10" t="str">
        <f aca="false">'Batch Test Results'!B8</f>
        <v>Meera</v>
      </c>
      <c r="C8" s="10" t="n">
        <f aca="false">'Batch Test Results'!D8</f>
        <v>2</v>
      </c>
      <c r="D8" s="10" t="n">
        <f aca="false">'Batch Test Results'!E8</f>
        <v>0</v>
      </c>
      <c r="E8" s="10" t="n">
        <f aca="false">IF(B8="","",MIN(3,MAX(0,C8))/3*40)</f>
        <v>26.6666666666667</v>
      </c>
      <c r="F8" s="10" t="n">
        <f aca="false">IF(B8="","",MAX(0,30-10*D8))</f>
        <v>30</v>
      </c>
      <c r="G8" s="8" t="n">
        <v>26</v>
      </c>
      <c r="H8" s="10" t="n">
        <f aca="false">IF(OR(B8="",G8=""),"",E8+F8+G8)</f>
        <v>82.6666666666667</v>
      </c>
    </row>
    <row r="9" customFormat="false" ht="15" hidden="false" customHeight="false" outlineLevel="0" collapsed="false">
      <c r="A9" s="10" t="n">
        <f aca="false">'Batch Test Results'!A9</f>
        <v>5</v>
      </c>
      <c r="B9" s="10" t="n">
        <f aca="false">'Batch Test Results'!B9</f>
        <v>0</v>
      </c>
      <c r="C9" s="10" t="n">
        <f aca="false">'Batch Test Results'!D9</f>
        <v>0</v>
      </c>
      <c r="D9" s="10" t="n">
        <f aca="false">'Batch Test Results'!E9</f>
        <v>0</v>
      </c>
      <c r="E9" s="10" t="str">
        <f aca="false">IF(B9="","",MIN(3,MAX(0,C9))/3*40)</f>
        <v/>
      </c>
      <c r="F9" s="10" t="str">
        <f aca="false">IF(B9="","",MAX(0,30-10*D9))</f>
        <v/>
      </c>
      <c r="G9" s="8"/>
      <c r="H9" s="10" t="str">
        <f aca="false">IF(OR(B9="",G9=""),"",E9+F9+G9)</f>
        <v/>
      </c>
    </row>
    <row r="10" customFormat="false" ht="15" hidden="false" customHeight="false" outlineLevel="0" collapsed="false">
      <c r="A10" s="10" t="n">
        <f aca="false">'Batch Test Results'!A10</f>
        <v>6</v>
      </c>
      <c r="B10" s="10" t="n">
        <f aca="false">'Batch Test Results'!B10</f>
        <v>0</v>
      </c>
      <c r="C10" s="10" t="n">
        <f aca="false">'Batch Test Results'!D10</f>
        <v>0</v>
      </c>
      <c r="D10" s="10" t="n">
        <f aca="false">'Batch Test Results'!E10</f>
        <v>0</v>
      </c>
      <c r="E10" s="10" t="str">
        <f aca="false">IF(B10="","",MIN(3,MAX(0,C10))/3*40)</f>
        <v/>
      </c>
      <c r="F10" s="10" t="str">
        <f aca="false">IF(B10="","",MAX(0,30-10*D10))</f>
        <v/>
      </c>
      <c r="G10" s="8"/>
      <c r="H10" s="10" t="str">
        <f aca="false">IF(OR(B10="",G10=""),"",E10+F10+G10)</f>
        <v/>
      </c>
    </row>
    <row r="11" customFormat="false" ht="15" hidden="false" customHeight="false" outlineLevel="0" collapsed="false">
      <c r="A11" s="10" t="n">
        <f aca="false">'Batch Test Results'!A11</f>
        <v>7</v>
      </c>
      <c r="B11" s="10" t="n">
        <f aca="false">'Batch Test Results'!B11</f>
        <v>0</v>
      </c>
      <c r="C11" s="10" t="n">
        <f aca="false">'Batch Test Results'!D11</f>
        <v>0</v>
      </c>
      <c r="D11" s="10" t="n">
        <f aca="false">'Batch Test Results'!E11</f>
        <v>0</v>
      </c>
      <c r="E11" s="10" t="str">
        <f aca="false">IF(B11="","",MIN(3,MAX(0,C11))/3*40)</f>
        <v/>
      </c>
      <c r="F11" s="10" t="str">
        <f aca="false">IF(B11="","",MAX(0,30-10*D11))</f>
        <v/>
      </c>
      <c r="G11" s="8"/>
      <c r="H11" s="10" t="str">
        <f aca="false">IF(OR(B11="",G11=""),"",E11+F11+G11)</f>
        <v/>
      </c>
    </row>
    <row r="12" customFormat="false" ht="15" hidden="false" customHeight="false" outlineLevel="0" collapsed="false">
      <c r="A12" s="10" t="n">
        <f aca="false">'Batch Test Results'!A12</f>
        <v>8</v>
      </c>
      <c r="B12" s="10" t="n">
        <f aca="false">'Batch Test Results'!B12</f>
        <v>0</v>
      </c>
      <c r="C12" s="10" t="n">
        <f aca="false">'Batch Test Results'!D12</f>
        <v>0</v>
      </c>
      <c r="D12" s="10" t="n">
        <f aca="false">'Batch Test Results'!E12</f>
        <v>0</v>
      </c>
      <c r="E12" s="10" t="str">
        <f aca="false">IF(B12="","",MIN(3,MAX(0,C12))/3*40)</f>
        <v/>
      </c>
      <c r="F12" s="10" t="str">
        <f aca="false">IF(B12="","",MAX(0,30-10*D12))</f>
        <v/>
      </c>
      <c r="G12" s="8"/>
      <c r="H12" s="10" t="str">
        <f aca="false">IF(OR(B12="",G12=""),"",E12+F12+G12)</f>
        <v/>
      </c>
    </row>
    <row r="13" customFormat="false" ht="15" hidden="false" customHeight="false" outlineLevel="0" collapsed="false">
      <c r="A13" s="10" t="n">
        <f aca="false">'Batch Test Results'!A13</f>
        <v>9</v>
      </c>
      <c r="B13" s="10" t="n">
        <f aca="false">'Batch Test Results'!B13</f>
        <v>0</v>
      </c>
      <c r="C13" s="10" t="n">
        <f aca="false">'Batch Test Results'!D13</f>
        <v>0</v>
      </c>
      <c r="D13" s="10" t="n">
        <f aca="false">'Batch Test Results'!E13</f>
        <v>0</v>
      </c>
      <c r="E13" s="10" t="str">
        <f aca="false">IF(B13="","",MIN(3,MAX(0,C13))/3*40)</f>
        <v/>
      </c>
      <c r="F13" s="10" t="str">
        <f aca="false">IF(B13="","",MAX(0,30-10*D13))</f>
        <v/>
      </c>
      <c r="G13" s="8"/>
      <c r="H13" s="10" t="str">
        <f aca="false">IF(OR(B13="",G13=""),"",E13+F13+G13)</f>
        <v/>
      </c>
    </row>
    <row r="14" customFormat="false" ht="15" hidden="false" customHeight="false" outlineLevel="0" collapsed="false">
      <c r="A14" s="10" t="n">
        <f aca="false">'Batch Test Results'!A14</f>
        <v>10</v>
      </c>
      <c r="B14" s="10" t="n">
        <f aca="false">'Batch Test Results'!B14</f>
        <v>0</v>
      </c>
      <c r="C14" s="10" t="n">
        <f aca="false">'Batch Test Results'!D14</f>
        <v>0</v>
      </c>
      <c r="D14" s="10" t="n">
        <f aca="false">'Batch Test Results'!E14</f>
        <v>0</v>
      </c>
      <c r="E14" s="10" t="str">
        <f aca="false">IF(B14="","",MIN(3,MAX(0,C14))/3*40)</f>
        <v/>
      </c>
      <c r="F14" s="10" t="str">
        <f aca="false">IF(B14="","",MAX(0,30-10*D14))</f>
        <v/>
      </c>
      <c r="G14" s="8"/>
      <c r="H14" s="10" t="str">
        <f aca="false">IF(OR(B14="",G14=""),"",E14+F14+G14)</f>
        <v/>
      </c>
    </row>
    <row r="15" customFormat="false" ht="15" hidden="false" customHeight="false" outlineLevel="0" collapsed="false">
      <c r="A15" s="10" t="n">
        <f aca="false">'Batch Test Results'!A15</f>
        <v>11</v>
      </c>
      <c r="B15" s="10" t="n">
        <f aca="false">'Batch Test Results'!B15</f>
        <v>0</v>
      </c>
      <c r="C15" s="10" t="n">
        <f aca="false">'Batch Test Results'!D15</f>
        <v>0</v>
      </c>
      <c r="D15" s="10" t="n">
        <f aca="false">'Batch Test Results'!E15</f>
        <v>0</v>
      </c>
      <c r="E15" s="10" t="str">
        <f aca="false">IF(B15="","",MIN(3,MAX(0,C15))/3*40)</f>
        <v/>
      </c>
      <c r="F15" s="10" t="str">
        <f aca="false">IF(B15="","",MAX(0,30-10*D15))</f>
        <v/>
      </c>
      <c r="G15" s="8"/>
      <c r="H15" s="10" t="str">
        <f aca="false">IF(OR(B15="",G15=""),"",E15+F15+G15)</f>
        <v/>
      </c>
    </row>
    <row r="16" customFormat="false" ht="15" hidden="false" customHeight="false" outlineLevel="0" collapsed="false">
      <c r="A16" s="10" t="n">
        <f aca="false">'Batch Test Results'!A16</f>
        <v>12</v>
      </c>
      <c r="B16" s="10" t="n">
        <f aca="false">'Batch Test Results'!B16</f>
        <v>0</v>
      </c>
      <c r="C16" s="10" t="n">
        <f aca="false">'Batch Test Results'!D16</f>
        <v>0</v>
      </c>
      <c r="D16" s="10" t="n">
        <f aca="false">'Batch Test Results'!E16</f>
        <v>0</v>
      </c>
      <c r="E16" s="10" t="str">
        <f aca="false">IF(B16="","",MIN(3,MAX(0,C16))/3*40)</f>
        <v/>
      </c>
      <c r="F16" s="10" t="str">
        <f aca="false">IF(B16="","",MAX(0,30-10*D16))</f>
        <v/>
      </c>
      <c r="G16" s="8"/>
      <c r="H16" s="10" t="str">
        <f aca="false">IF(OR(B16="",G16=""),"",E16+F16+G16)</f>
        <v/>
      </c>
    </row>
    <row r="17" customFormat="false" ht="15" hidden="false" customHeight="false" outlineLevel="0" collapsed="false">
      <c r="A17" s="10" t="n">
        <f aca="false">'Batch Test Results'!A17</f>
        <v>13</v>
      </c>
      <c r="B17" s="10" t="n">
        <f aca="false">'Batch Test Results'!B17</f>
        <v>0</v>
      </c>
      <c r="C17" s="10" t="n">
        <f aca="false">'Batch Test Results'!D17</f>
        <v>0</v>
      </c>
      <c r="D17" s="10" t="n">
        <f aca="false">'Batch Test Results'!E17</f>
        <v>0</v>
      </c>
      <c r="E17" s="10" t="str">
        <f aca="false">IF(B17="","",MIN(3,MAX(0,C17))/3*40)</f>
        <v/>
      </c>
      <c r="F17" s="10" t="str">
        <f aca="false">IF(B17="","",MAX(0,30-10*D17))</f>
        <v/>
      </c>
      <c r="G17" s="8"/>
      <c r="H17" s="10" t="str">
        <f aca="false">IF(OR(B17="",G17=""),"",E17+F17+G17)</f>
        <v/>
      </c>
    </row>
    <row r="18" customFormat="false" ht="15" hidden="false" customHeight="false" outlineLevel="0" collapsed="false">
      <c r="A18" s="10" t="n">
        <f aca="false">'Batch Test Results'!A18</f>
        <v>14</v>
      </c>
      <c r="B18" s="10" t="n">
        <f aca="false">'Batch Test Results'!B18</f>
        <v>0</v>
      </c>
      <c r="C18" s="10" t="n">
        <f aca="false">'Batch Test Results'!D18</f>
        <v>0</v>
      </c>
      <c r="D18" s="10" t="n">
        <f aca="false">'Batch Test Results'!E18</f>
        <v>0</v>
      </c>
      <c r="E18" s="10" t="str">
        <f aca="false">IF(B18="","",MIN(3,MAX(0,C18))/3*40)</f>
        <v/>
      </c>
      <c r="F18" s="10" t="str">
        <f aca="false">IF(B18="","",MAX(0,30-10*D18))</f>
        <v/>
      </c>
      <c r="G18" s="8"/>
      <c r="H18" s="10" t="str">
        <f aca="false">IF(OR(B18="",G18=""),"",E18+F18+G18)</f>
        <v/>
      </c>
    </row>
    <row r="19" customFormat="false" ht="15" hidden="false" customHeight="false" outlineLevel="0" collapsed="false">
      <c r="A19" s="10" t="n">
        <f aca="false">'Batch Test Results'!A19</f>
        <v>15</v>
      </c>
      <c r="B19" s="10" t="n">
        <f aca="false">'Batch Test Results'!B19</f>
        <v>0</v>
      </c>
      <c r="C19" s="10" t="n">
        <f aca="false">'Batch Test Results'!D19</f>
        <v>0</v>
      </c>
      <c r="D19" s="10" t="n">
        <f aca="false">'Batch Test Results'!E19</f>
        <v>0</v>
      </c>
      <c r="E19" s="10" t="str">
        <f aca="false">IF(B19="","",MIN(3,MAX(0,C19))/3*40)</f>
        <v/>
      </c>
      <c r="F19" s="10" t="str">
        <f aca="false">IF(B19="","",MAX(0,30-10*D19))</f>
        <v/>
      </c>
      <c r="G19" s="8"/>
      <c r="H19" s="10" t="str">
        <f aca="false">IF(OR(B19="",G19=""),"",E19+F19+G19)</f>
        <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4"/>
    <col collapsed="false" customWidth="true" hidden="false" outlineLevel="0" max="5" min="4" style="0" width="13"/>
    <col collapsed="false" customWidth="true" hidden="false" outlineLevel="0" max="6" min="6" style="0" width="14"/>
    <col collapsed="false" customWidth="true" hidden="false" outlineLevel="0" max="8" min="7" style="0" width="13"/>
    <col collapsed="false" customWidth="true" hidden="false" outlineLevel="0" max="9" min="9" style="0" width="12"/>
    <col collapsed="false" customWidth="true" hidden="false" outlineLevel="0" max="10" min="10" style="0" width="7"/>
    <col collapsed="false" customWidth="true" hidden="false" outlineLevel="0" max="12" min="11" style="0" width="38"/>
    <col collapsed="false" customWidth="true" hidden="false" outlineLevel="0" max="13" min="13" style="0" width="55"/>
    <col collapsed="false" customWidth="true" hidden="false" outlineLevel="0" max="14" min="14" style="0" width="18"/>
  </cols>
  <sheetData>
    <row r="1" customFormat="false" ht="17.35" hidden="false" customHeight="false" outlineLevel="0" collapsed="false">
      <c r="A1" s="4" t="s">
        <v>67</v>
      </c>
      <c r="B1" s="4"/>
      <c r="C1" s="4"/>
      <c r="D1" s="4"/>
      <c r="E1" s="4"/>
      <c r="F1" s="4"/>
      <c r="G1" s="4"/>
      <c r="H1" s="4"/>
      <c r="I1" s="4"/>
      <c r="J1" s="4"/>
      <c r="K1" s="4"/>
      <c r="L1" s="4"/>
      <c r="M1" s="4"/>
      <c r="N1" s="4"/>
      <c r="O1" s="4"/>
    </row>
    <row r="2" customFormat="false" ht="15" hidden="false" customHeight="false" outlineLevel="0" collapsed="false">
      <c r="A2" s="11" t="s">
        <v>68</v>
      </c>
      <c r="B2" s="11"/>
      <c r="C2" s="11"/>
      <c r="D2" s="11"/>
      <c r="E2" s="11"/>
      <c r="F2" s="11"/>
      <c r="G2" s="11"/>
      <c r="H2" s="11"/>
      <c r="I2" s="11"/>
      <c r="J2" s="11"/>
      <c r="K2" s="11"/>
      <c r="L2" s="11"/>
      <c r="M2" s="11"/>
      <c r="N2" s="11"/>
      <c r="O2" s="11"/>
    </row>
    <row r="4" customFormat="false" ht="15" hidden="false" customHeight="false" outlineLevel="0" collapsed="false">
      <c r="A4" s="12" t="s">
        <v>69</v>
      </c>
      <c r="B4" s="12"/>
      <c r="C4" s="12"/>
      <c r="D4" s="12"/>
      <c r="E4" s="12"/>
      <c r="F4" s="12"/>
      <c r="G4" s="12"/>
      <c r="H4" s="12"/>
      <c r="I4" s="12"/>
      <c r="J4" s="12"/>
      <c r="K4" s="12"/>
      <c r="L4" s="12"/>
      <c r="M4" s="12"/>
      <c r="N4" s="12"/>
      <c r="O4" s="12"/>
    </row>
    <row r="6" customFormat="false" ht="48" hidden="false" customHeight="true" outlineLevel="0" collapsed="false">
      <c r="A6" s="6" t="s">
        <v>24</v>
      </c>
      <c r="B6" s="6" t="s">
        <v>25</v>
      </c>
      <c r="C6" s="6" t="s">
        <v>70</v>
      </c>
      <c r="D6" s="6" t="s">
        <v>71</v>
      </c>
      <c r="E6" s="6" t="s">
        <v>72</v>
      </c>
      <c r="F6" s="6" t="s">
        <v>73</v>
      </c>
      <c r="G6" s="6" t="s">
        <v>74</v>
      </c>
      <c r="H6" s="6" t="s">
        <v>75</v>
      </c>
      <c r="I6" s="6" t="s">
        <v>76</v>
      </c>
      <c r="J6" s="6" t="s">
        <v>77</v>
      </c>
      <c r="K6" s="6" t="s">
        <v>78</v>
      </c>
      <c r="L6" s="6" t="s">
        <v>79</v>
      </c>
      <c r="M6" s="6" t="s">
        <v>80</v>
      </c>
      <c r="N6" s="6" t="s">
        <v>44</v>
      </c>
    </row>
    <row r="7" customFormat="false" ht="61.5" hidden="false" customHeight="true" outlineLevel="0" collapsed="false">
      <c r="A7" s="10" t="n">
        <f aca="false">'Batch Test Results'!A5</f>
        <v>1</v>
      </c>
      <c r="B7" s="10" t="str">
        <f aca="false">'Batch Test Results'!B5</f>
        <v>Ananya</v>
      </c>
      <c r="C7" s="10" t="n">
        <f aca="false">IFERROR('Batch Test Results'!O5,"")</f>
        <v>100</v>
      </c>
      <c r="D7" s="10" t="n">
        <f aca="false">IFERROR('Batch Test Results'!T5,"")</f>
        <v>100</v>
      </c>
      <c r="E7" s="10" t="n">
        <f aca="false">IFERROR('Pattern Score'!H5,"")</f>
        <v>98</v>
      </c>
      <c r="F7" s="8" t="n">
        <v>95</v>
      </c>
      <c r="G7" s="8" t="n">
        <v>100</v>
      </c>
      <c r="H7" s="8" t="n">
        <v>90</v>
      </c>
      <c r="I7" s="10" t="n">
        <f aca="false">IF(B7="","",IFERROR(C7,0)*0.3+IFERROR(D7,0)*0.2+IFERROR(E7,0)*0.2+IFERROR(F7,0)*0.2+IFERROR(G7,0)*0.05+IFERROR(H7,0)*0.05)</f>
        <v>98.1</v>
      </c>
      <c r="J7" s="10" t="n">
        <f aca="false">IF(I7="","",RANK(I7,$I$7:$I$21,0))</f>
        <v>1</v>
      </c>
      <c r="K7" s="9" t="s">
        <v>81</v>
      </c>
      <c r="L7" s="9" t="s">
        <v>82</v>
      </c>
      <c r="M7" s="9" t="s">
        <v>83</v>
      </c>
      <c r="N7" s="8" t="s">
        <v>48</v>
      </c>
    </row>
    <row r="8" customFormat="false" ht="61.5" hidden="false" customHeight="true" outlineLevel="0" collapsed="false">
      <c r="A8" s="10" t="n">
        <f aca="false">'Batch Test Results'!A6</f>
        <v>2</v>
      </c>
      <c r="B8" s="10" t="str">
        <f aca="false">'Batch Test Results'!B6</f>
        <v>Rahul</v>
      </c>
      <c r="C8" s="10" t="n">
        <f aca="false">IFERROR('Batch Test Results'!O6,"")</f>
        <v>66.6666666666667</v>
      </c>
      <c r="D8" s="10" t="n">
        <f aca="false">IFERROR('Batch Test Results'!T6,"")</f>
        <v>50</v>
      </c>
      <c r="E8" s="10" t="n">
        <f aca="false">IFERROR('Pattern Score'!H6,"")</f>
        <v>23.3333333333333</v>
      </c>
      <c r="F8" s="8" t="n">
        <v>30</v>
      </c>
      <c r="G8" s="8" t="n">
        <v>100</v>
      </c>
      <c r="H8" s="8" t="n">
        <v>55</v>
      </c>
      <c r="I8" s="10" t="n">
        <f aca="false">IF(B8="","",IFERROR(C8,0)*0.3+IFERROR(D8,0)*0.2+IFERROR(E8,0)*0.2+IFERROR(F8,0)*0.2+IFERROR(G8,0)*0.05+IFERROR(H8,0)*0.05)</f>
        <v>48.4166666666667</v>
      </c>
      <c r="J8" s="10" t="n">
        <f aca="false">IF(I8="","",RANK(I8,$I$7:$I$21,0))</f>
        <v>4</v>
      </c>
      <c r="K8" s="9" t="s">
        <v>84</v>
      </c>
      <c r="L8" s="9" t="s">
        <v>85</v>
      </c>
      <c r="M8" s="9" t="s">
        <v>86</v>
      </c>
      <c r="N8" s="8" t="s">
        <v>48</v>
      </c>
    </row>
    <row r="9" customFormat="false" ht="61.5" hidden="false" customHeight="true" outlineLevel="0" collapsed="false">
      <c r="A9" s="10" t="n">
        <f aca="false">'Batch Test Results'!A7</f>
        <v>3</v>
      </c>
      <c r="B9" s="10" t="str">
        <f aca="false">'Batch Test Results'!B7</f>
        <v>Priya</v>
      </c>
      <c r="C9" s="10" t="n">
        <f aca="false">IFERROR('Batch Test Results'!O7,"")</f>
        <v>100</v>
      </c>
      <c r="D9" s="10" t="n">
        <f aca="false">IFERROR('Batch Test Results'!T7,"")</f>
        <v>50</v>
      </c>
      <c r="E9" s="10" t="n">
        <f aca="false">IFERROR('Pattern Score'!H7,"")</f>
        <v>65.3333333333333</v>
      </c>
      <c r="F9" s="8" t="n">
        <v>75</v>
      </c>
      <c r="G9" s="8" t="n">
        <v>100</v>
      </c>
      <c r="H9" s="8" t="n">
        <v>75</v>
      </c>
      <c r="I9" s="10" t="n">
        <f aca="false">IF(B9="","",IFERROR(C9,0)*0.3+IFERROR(D9,0)*0.2+IFERROR(E9,0)*0.2+IFERROR(F9,0)*0.2+IFERROR(G9,0)*0.05+IFERROR(H9,0)*0.05)</f>
        <v>76.8166666666667</v>
      </c>
      <c r="J9" s="10" t="n">
        <f aca="false">IF(I9="","",RANK(I9,$I$7:$I$21,0))</f>
        <v>3</v>
      </c>
      <c r="K9" s="9" t="s">
        <v>87</v>
      </c>
      <c r="L9" s="9" t="s">
        <v>88</v>
      </c>
      <c r="M9" s="9" t="s">
        <v>89</v>
      </c>
      <c r="N9" s="8" t="s">
        <v>48</v>
      </c>
    </row>
    <row r="10" customFormat="false" ht="61.5" hidden="false" customHeight="true" outlineLevel="0" collapsed="false">
      <c r="A10" s="10" t="n">
        <f aca="false">'Batch Test Results'!A8</f>
        <v>4</v>
      </c>
      <c r="B10" s="10" t="str">
        <f aca="false">'Batch Test Results'!B8</f>
        <v>Meera</v>
      </c>
      <c r="C10" s="10" t="n">
        <f aca="false">IFERROR('Batch Test Results'!O8,"")</f>
        <v>100</v>
      </c>
      <c r="D10" s="10" t="n">
        <f aca="false">IFERROR('Batch Test Results'!T8,"")</f>
        <v>75</v>
      </c>
      <c r="E10" s="10" t="n">
        <f aca="false">IFERROR('Pattern Score'!H8,"")</f>
        <v>82.6666666666667</v>
      </c>
      <c r="F10" s="8" t="n">
        <v>85</v>
      </c>
      <c r="G10" s="8" t="n">
        <v>100</v>
      </c>
      <c r="H10" s="8" t="n">
        <v>80</v>
      </c>
      <c r="I10" s="10" t="n">
        <f aca="false">IF(B10="","",IFERROR(C10,0)*0.3+IFERROR(D10,0)*0.2+IFERROR(E10,0)*0.2+IFERROR(F10,0)*0.2+IFERROR(G10,0)*0.05+IFERROR(H10,0)*0.05)</f>
        <v>87.5333333333333</v>
      </c>
      <c r="J10" s="10" t="n">
        <f aca="false">IF(I10="","",RANK(I10,$I$7:$I$21,0))</f>
        <v>2</v>
      </c>
      <c r="K10" s="9" t="s">
        <v>90</v>
      </c>
      <c r="L10" s="9" t="s">
        <v>91</v>
      </c>
      <c r="M10" s="9" t="s">
        <v>92</v>
      </c>
      <c r="N10" s="8" t="s">
        <v>48</v>
      </c>
    </row>
    <row r="11" customFormat="false" ht="15" hidden="false" customHeight="false" outlineLevel="0" collapsed="false">
      <c r="A11" s="10" t="n">
        <f aca="false">'Batch Test Results'!A9</f>
        <v>5</v>
      </c>
      <c r="B11" s="10" t="n">
        <f aca="false">'Batch Test Results'!B9</f>
        <v>0</v>
      </c>
      <c r="C11" s="10" t="str">
        <f aca="false">IFERROR('Batch Test Results'!O9,"")</f>
        <v/>
      </c>
      <c r="D11" s="10" t="str">
        <f aca="false">IFERROR('Batch Test Results'!T9,"")</f>
        <v/>
      </c>
      <c r="E11" s="10" t="str">
        <f aca="false">IFERROR('Pattern Score'!H9,"")</f>
        <v/>
      </c>
      <c r="F11" s="8"/>
      <c r="G11" s="8"/>
      <c r="H11" s="8"/>
      <c r="I11" s="10" t="str">
        <f aca="false">IF(B11="","",IFERROR(C11,0)*0.3+IFERROR(D11,0)*0.2+IFERROR(E11,0)*0.2+IFERROR(F11,0)*0.2+IFERROR(G11,0)*0.05+IFERROR(H11,0)*0.05)</f>
        <v/>
      </c>
      <c r="J11" s="10" t="str">
        <f aca="false">IF(I11="","",RANK(I11,$I$7:$I$21,0))</f>
        <v/>
      </c>
      <c r="K11" s="9"/>
      <c r="L11" s="9"/>
      <c r="M11" s="9"/>
      <c r="N11" s="8"/>
    </row>
    <row r="12" customFormat="false" ht="15" hidden="false" customHeight="false" outlineLevel="0" collapsed="false">
      <c r="A12" s="10" t="n">
        <f aca="false">'Batch Test Results'!A10</f>
        <v>6</v>
      </c>
      <c r="B12" s="10" t="n">
        <f aca="false">'Batch Test Results'!B10</f>
        <v>0</v>
      </c>
      <c r="C12" s="10" t="str">
        <f aca="false">IFERROR('Batch Test Results'!O10,"")</f>
        <v/>
      </c>
      <c r="D12" s="10" t="str">
        <f aca="false">IFERROR('Batch Test Results'!T10,"")</f>
        <v/>
      </c>
      <c r="E12" s="10" t="str">
        <f aca="false">IFERROR('Pattern Score'!H10,"")</f>
        <v/>
      </c>
      <c r="F12" s="8"/>
      <c r="G12" s="8"/>
      <c r="H12" s="8"/>
      <c r="I12" s="10" t="str">
        <f aca="false">IF(B12="","",IFERROR(C12,0)*0.3+IFERROR(D12,0)*0.2+IFERROR(E12,0)*0.2+IFERROR(F12,0)*0.2+IFERROR(G12,0)*0.05+IFERROR(H12,0)*0.05)</f>
        <v/>
      </c>
      <c r="J12" s="10" t="str">
        <f aca="false">IF(I12="","",RANK(I12,$I$7:$I$21,0))</f>
        <v/>
      </c>
      <c r="K12" s="9"/>
      <c r="L12" s="9"/>
      <c r="M12" s="9"/>
      <c r="N12" s="8"/>
    </row>
    <row r="13" customFormat="false" ht="15" hidden="false" customHeight="false" outlineLevel="0" collapsed="false">
      <c r="A13" s="10" t="n">
        <f aca="false">'Batch Test Results'!A11</f>
        <v>7</v>
      </c>
      <c r="B13" s="10" t="n">
        <f aca="false">'Batch Test Results'!B11</f>
        <v>0</v>
      </c>
      <c r="C13" s="10" t="str">
        <f aca="false">IFERROR('Batch Test Results'!O11,"")</f>
        <v/>
      </c>
      <c r="D13" s="10" t="str">
        <f aca="false">IFERROR('Batch Test Results'!T11,"")</f>
        <v/>
      </c>
      <c r="E13" s="10" t="str">
        <f aca="false">IFERROR('Pattern Score'!H11,"")</f>
        <v/>
      </c>
      <c r="F13" s="8"/>
      <c r="G13" s="8"/>
      <c r="H13" s="8"/>
      <c r="I13" s="10" t="str">
        <f aca="false">IF(B13="","",IFERROR(C13,0)*0.3+IFERROR(D13,0)*0.2+IFERROR(E13,0)*0.2+IFERROR(F13,0)*0.2+IFERROR(G13,0)*0.05+IFERROR(H13,0)*0.05)</f>
        <v/>
      </c>
      <c r="J13" s="10" t="str">
        <f aca="false">IF(I13="","",RANK(I13,$I$7:$I$21,0))</f>
        <v/>
      </c>
      <c r="K13" s="9"/>
      <c r="L13" s="9"/>
      <c r="M13" s="9"/>
      <c r="N13" s="8"/>
    </row>
    <row r="14" customFormat="false" ht="15" hidden="false" customHeight="false" outlineLevel="0" collapsed="false">
      <c r="A14" s="10" t="n">
        <f aca="false">'Batch Test Results'!A12</f>
        <v>8</v>
      </c>
      <c r="B14" s="10" t="n">
        <f aca="false">'Batch Test Results'!B12</f>
        <v>0</v>
      </c>
      <c r="C14" s="10" t="str">
        <f aca="false">IFERROR('Batch Test Results'!O12,"")</f>
        <v/>
      </c>
      <c r="D14" s="10" t="str">
        <f aca="false">IFERROR('Batch Test Results'!T12,"")</f>
        <v/>
      </c>
      <c r="E14" s="10" t="str">
        <f aca="false">IFERROR('Pattern Score'!H12,"")</f>
        <v/>
      </c>
      <c r="F14" s="8"/>
      <c r="G14" s="8"/>
      <c r="H14" s="8"/>
      <c r="I14" s="10" t="str">
        <f aca="false">IF(B14="","",IFERROR(C14,0)*0.3+IFERROR(D14,0)*0.2+IFERROR(E14,0)*0.2+IFERROR(F14,0)*0.2+IFERROR(G14,0)*0.05+IFERROR(H14,0)*0.05)</f>
        <v/>
      </c>
      <c r="J14" s="10" t="str">
        <f aca="false">IF(I14="","",RANK(I14,$I$7:$I$21,0))</f>
        <v/>
      </c>
      <c r="K14" s="9"/>
      <c r="L14" s="9"/>
      <c r="M14" s="9"/>
      <c r="N14" s="8"/>
    </row>
    <row r="15" customFormat="false" ht="15" hidden="false" customHeight="false" outlineLevel="0" collapsed="false">
      <c r="A15" s="10" t="n">
        <f aca="false">'Batch Test Results'!A13</f>
        <v>9</v>
      </c>
      <c r="B15" s="10" t="n">
        <f aca="false">'Batch Test Results'!B13</f>
        <v>0</v>
      </c>
      <c r="C15" s="10" t="str">
        <f aca="false">IFERROR('Batch Test Results'!O13,"")</f>
        <v/>
      </c>
      <c r="D15" s="10" t="str">
        <f aca="false">IFERROR('Batch Test Results'!T13,"")</f>
        <v/>
      </c>
      <c r="E15" s="10" t="str">
        <f aca="false">IFERROR('Pattern Score'!H13,"")</f>
        <v/>
      </c>
      <c r="F15" s="8"/>
      <c r="G15" s="8"/>
      <c r="H15" s="8"/>
      <c r="I15" s="10" t="str">
        <f aca="false">IF(B15="","",IFERROR(C15,0)*0.3+IFERROR(D15,0)*0.2+IFERROR(E15,0)*0.2+IFERROR(F15,0)*0.2+IFERROR(G15,0)*0.05+IFERROR(H15,0)*0.05)</f>
        <v/>
      </c>
      <c r="J15" s="10" t="str">
        <f aca="false">IF(I15="","",RANK(I15,$I$7:$I$21,0))</f>
        <v/>
      </c>
      <c r="K15" s="9"/>
      <c r="L15" s="9"/>
      <c r="M15" s="9"/>
      <c r="N15" s="8"/>
    </row>
    <row r="16" customFormat="false" ht="15" hidden="false" customHeight="false" outlineLevel="0" collapsed="false">
      <c r="A16" s="10" t="n">
        <f aca="false">'Batch Test Results'!A14</f>
        <v>10</v>
      </c>
      <c r="B16" s="10" t="n">
        <f aca="false">'Batch Test Results'!B14</f>
        <v>0</v>
      </c>
      <c r="C16" s="10" t="str">
        <f aca="false">IFERROR('Batch Test Results'!O14,"")</f>
        <v/>
      </c>
      <c r="D16" s="10" t="str">
        <f aca="false">IFERROR('Batch Test Results'!T14,"")</f>
        <v/>
      </c>
      <c r="E16" s="10" t="str">
        <f aca="false">IFERROR('Pattern Score'!H14,"")</f>
        <v/>
      </c>
      <c r="F16" s="8"/>
      <c r="G16" s="8"/>
      <c r="H16" s="8"/>
      <c r="I16" s="10" t="str">
        <f aca="false">IF(B16="","",IFERROR(C16,0)*0.3+IFERROR(D16,0)*0.2+IFERROR(E16,0)*0.2+IFERROR(F16,0)*0.2+IFERROR(G16,0)*0.05+IFERROR(H16,0)*0.05)</f>
        <v/>
      </c>
      <c r="J16" s="10" t="str">
        <f aca="false">IF(I16="","",RANK(I16,$I$7:$I$21,0))</f>
        <v/>
      </c>
      <c r="K16" s="9"/>
      <c r="L16" s="9"/>
      <c r="M16" s="9"/>
      <c r="N16" s="8"/>
    </row>
    <row r="17" customFormat="false" ht="15" hidden="false" customHeight="false" outlineLevel="0" collapsed="false">
      <c r="A17" s="10" t="n">
        <f aca="false">'Batch Test Results'!A15</f>
        <v>11</v>
      </c>
      <c r="B17" s="10" t="n">
        <f aca="false">'Batch Test Results'!B15</f>
        <v>0</v>
      </c>
      <c r="C17" s="10" t="str">
        <f aca="false">IFERROR('Batch Test Results'!O15,"")</f>
        <v/>
      </c>
      <c r="D17" s="10" t="str">
        <f aca="false">IFERROR('Batch Test Results'!T15,"")</f>
        <v/>
      </c>
      <c r="E17" s="10" t="str">
        <f aca="false">IFERROR('Pattern Score'!H15,"")</f>
        <v/>
      </c>
      <c r="F17" s="8"/>
      <c r="G17" s="8"/>
      <c r="H17" s="8"/>
      <c r="I17" s="10" t="str">
        <f aca="false">IF(B17="","",IFERROR(C17,0)*0.3+IFERROR(D17,0)*0.2+IFERROR(E17,0)*0.2+IFERROR(F17,0)*0.2+IFERROR(G17,0)*0.05+IFERROR(H17,0)*0.05)</f>
        <v/>
      </c>
      <c r="J17" s="10" t="str">
        <f aca="false">IF(I17="","",RANK(I17,$I$7:$I$21,0))</f>
        <v/>
      </c>
      <c r="K17" s="9"/>
      <c r="L17" s="9"/>
      <c r="M17" s="9"/>
      <c r="N17" s="8"/>
    </row>
    <row r="18" customFormat="false" ht="15" hidden="false" customHeight="false" outlineLevel="0" collapsed="false">
      <c r="A18" s="10" t="n">
        <f aca="false">'Batch Test Results'!A16</f>
        <v>12</v>
      </c>
      <c r="B18" s="10" t="n">
        <f aca="false">'Batch Test Results'!B16</f>
        <v>0</v>
      </c>
      <c r="C18" s="10" t="str">
        <f aca="false">IFERROR('Batch Test Results'!O16,"")</f>
        <v/>
      </c>
      <c r="D18" s="10" t="str">
        <f aca="false">IFERROR('Batch Test Results'!T16,"")</f>
        <v/>
      </c>
      <c r="E18" s="10" t="str">
        <f aca="false">IFERROR('Pattern Score'!H16,"")</f>
        <v/>
      </c>
      <c r="F18" s="8"/>
      <c r="G18" s="8"/>
      <c r="H18" s="8"/>
      <c r="I18" s="10" t="str">
        <f aca="false">IF(B18="","",IFERROR(C18,0)*0.3+IFERROR(D18,0)*0.2+IFERROR(E18,0)*0.2+IFERROR(F18,0)*0.2+IFERROR(G18,0)*0.05+IFERROR(H18,0)*0.05)</f>
        <v/>
      </c>
      <c r="J18" s="10" t="str">
        <f aca="false">IF(I18="","",RANK(I18,$I$7:$I$21,0))</f>
        <v/>
      </c>
      <c r="K18" s="9"/>
      <c r="L18" s="9"/>
      <c r="M18" s="9"/>
      <c r="N18" s="8"/>
    </row>
    <row r="19" customFormat="false" ht="15" hidden="false" customHeight="false" outlineLevel="0" collapsed="false">
      <c r="A19" s="10" t="n">
        <f aca="false">'Batch Test Results'!A17</f>
        <v>13</v>
      </c>
      <c r="B19" s="10" t="n">
        <f aca="false">'Batch Test Results'!B17</f>
        <v>0</v>
      </c>
      <c r="C19" s="10" t="str">
        <f aca="false">IFERROR('Batch Test Results'!O17,"")</f>
        <v/>
      </c>
      <c r="D19" s="10" t="str">
        <f aca="false">IFERROR('Batch Test Results'!T17,"")</f>
        <v/>
      </c>
      <c r="E19" s="10" t="str">
        <f aca="false">IFERROR('Pattern Score'!H17,"")</f>
        <v/>
      </c>
      <c r="F19" s="8"/>
      <c r="G19" s="8"/>
      <c r="H19" s="8"/>
      <c r="I19" s="10" t="str">
        <f aca="false">IF(B19="","",IFERROR(C19,0)*0.3+IFERROR(D19,0)*0.2+IFERROR(E19,0)*0.2+IFERROR(F19,0)*0.2+IFERROR(G19,0)*0.05+IFERROR(H19,0)*0.05)</f>
        <v/>
      </c>
      <c r="J19" s="10" t="str">
        <f aca="false">IF(I19="","",RANK(I19,$I$7:$I$21,0))</f>
        <v/>
      </c>
      <c r="K19" s="9"/>
      <c r="L19" s="9"/>
      <c r="M19" s="9"/>
      <c r="N19" s="8"/>
    </row>
    <row r="20" customFormat="false" ht="15" hidden="false" customHeight="false" outlineLevel="0" collapsed="false">
      <c r="A20" s="10" t="n">
        <f aca="false">'Batch Test Results'!A18</f>
        <v>14</v>
      </c>
      <c r="B20" s="10" t="n">
        <f aca="false">'Batch Test Results'!B18</f>
        <v>0</v>
      </c>
      <c r="C20" s="10" t="str">
        <f aca="false">IFERROR('Batch Test Results'!O18,"")</f>
        <v/>
      </c>
      <c r="D20" s="10" t="str">
        <f aca="false">IFERROR('Batch Test Results'!T18,"")</f>
        <v/>
      </c>
      <c r="E20" s="10" t="str">
        <f aca="false">IFERROR('Pattern Score'!H18,"")</f>
        <v/>
      </c>
      <c r="F20" s="8"/>
      <c r="G20" s="8"/>
      <c r="H20" s="8"/>
      <c r="I20" s="10" t="str">
        <f aca="false">IF(B20="","",IFERROR(C20,0)*0.3+IFERROR(D20,0)*0.2+IFERROR(E20,0)*0.2+IFERROR(F20,0)*0.2+IFERROR(G20,0)*0.05+IFERROR(H20,0)*0.05)</f>
        <v/>
      </c>
      <c r="J20" s="10" t="str">
        <f aca="false">IF(I20="","",RANK(I20,$I$7:$I$21,0))</f>
        <v/>
      </c>
      <c r="K20" s="9"/>
      <c r="L20" s="9"/>
      <c r="M20" s="9"/>
      <c r="N20" s="8"/>
    </row>
    <row r="21" customFormat="false" ht="15" hidden="false" customHeight="false" outlineLevel="0" collapsed="false">
      <c r="A21" s="10" t="n">
        <f aca="false">'Batch Test Results'!A19</f>
        <v>15</v>
      </c>
      <c r="B21" s="10" t="n">
        <f aca="false">'Batch Test Results'!B19</f>
        <v>0</v>
      </c>
      <c r="C21" s="10" t="str">
        <f aca="false">IFERROR('Batch Test Results'!O19,"")</f>
        <v/>
      </c>
      <c r="D21" s="10" t="str">
        <f aca="false">IFERROR('Batch Test Results'!T19,"")</f>
        <v/>
      </c>
      <c r="E21" s="10" t="str">
        <f aca="false">IFERROR('Pattern Score'!H19,"")</f>
        <v/>
      </c>
      <c r="F21" s="8"/>
      <c r="G21" s="8"/>
      <c r="H21" s="8"/>
      <c r="I21" s="10" t="str">
        <f aca="false">IF(B21="","",IFERROR(C21,0)*0.3+IFERROR(D21,0)*0.2+IFERROR(E21,0)*0.2+IFERROR(F21,0)*0.2+IFERROR(G21,0)*0.05+IFERROR(H21,0)*0.05)</f>
        <v/>
      </c>
      <c r="J21" s="10" t="str">
        <f aca="false">IF(I21="","",RANK(I21,$I$7:$I$21,0))</f>
        <v/>
      </c>
      <c r="K21" s="9"/>
      <c r="L21" s="9"/>
      <c r="M21" s="9"/>
      <c r="N21" s="8"/>
    </row>
  </sheetData>
  <mergeCells count="3">
    <mergeCell ref="A1:O1"/>
    <mergeCell ref="A2:O2"/>
    <mergeCell ref="A4:O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2026-10-10T13:11:41Z</dcterms:created>
  <dc:creator>openpyxl</dc:creator>
  <dc:description/>
  <dc:language>en-US</dc:language>
  <cp:lastModifiedBy/>
  <dcterms:modified xsi:type="dcterms:W3CDTF">2026-10-10T13:11:41Z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