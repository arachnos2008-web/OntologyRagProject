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Pilot not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Cambria"/>
      <family val="1"/>
      <i val="1"/>
      <color rgb="FF595959"/>
      <sz val="11"/>
    </font>
    <font>
      <name val="Calibri"/>
      <charset val="1"/>
      <family val="2"/>
      <b val="1"/>
      <color theme="1"/>
      <sz val="11"/>
    </font>
    <font>
      <name val="Cambria"/>
      <family val="1"/>
      <b val="1"/>
      <sz val="11"/>
    </font>
    <font>
      <name val="Cambria"/>
      <family val="1"/>
      <b val="1"/>
      <color rgb="FFFFFFFF"/>
      <sz val="11"/>
    </font>
    <font>
      <name val="Cambria"/>
      <family val="1"/>
      <b val="1"/>
      <sz val="13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theme="4" tint="0.7998901333658864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AE3F3"/>
      </patternFill>
    </fill>
    <fill>
      <patternFill patternType="solid">
        <fgColor rgb="FF2F5496"/>
        <bgColor rgb="FF59595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6" borderId="2" pivotButton="0" quotePrefix="0" xfId="0"/>
    <xf numFmtId="0" fontId="0" fillId="0" borderId="2" pivotButton="0" quotePrefix="0" xfId="0"/>
    <xf numFmtId="0" fontId="5" fillId="0" borderId="0" pivotButton="0" quotePrefix="0" xfId="0"/>
    <xf numFmtId="0" fontId="0" fillId="4" borderId="2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tabSelected="1" topLeftCell="A3" zoomScale="85" zoomScaleNormal="85" workbookViewId="0">
      <selection activeCell="A5" sqref="A5"/>
    </sheetView>
  </sheetViews>
  <sheetFormatPr baseColWidth="8" defaultColWidth="8.6328125" defaultRowHeight="14.5"/>
  <cols>
    <col width="4.08984375" customWidth="1" min="1" max="1"/>
    <col width="16" customWidth="1" min="2" max="2"/>
    <col width="18.90625" customWidth="1" min="3" max="3"/>
    <col width="12" customWidth="1" min="4" max="4"/>
    <col width="21.1796875" customWidth="1" min="5" max="7"/>
    <col width="13.81640625" customWidth="1" min="8" max="8"/>
    <col width="19.54296875" customWidth="1" min="9" max="9"/>
    <col width="20" customWidth="1" min="10" max="11"/>
    <col width="13.81640625" customWidth="1" min="12" max="12"/>
    <col width="24.81640625" customWidth="1" min="13" max="13"/>
    <col width="26" customWidth="1" min="14" max="14"/>
    <col width="12" customWidth="1" min="15" max="15"/>
    <col width="10.54296875" customWidth="1" min="16" max="16"/>
    <col width="13" customWidth="1" min="17" max="17"/>
    <col width="12" customWidth="1" min="18" max="18"/>
    <col width="11.6328125" customWidth="1" min="19" max="19"/>
    <col width="13" customWidth="1" min="20" max="20"/>
    <col width="21.7265625" customWidth="1" min="21" max="21"/>
    <col width="16" customWidth="1" min="22" max="23"/>
    <col width="20" customWidth="1" min="24" max="28"/>
  </cols>
  <sheetData>
    <row r="1" ht="14.25" customHeight="1">
      <c r="A1" s="2" t="inlineStr">
        <is>
          <t>Yellow = you type or paste. Green = automatic. Dataset facts come from the 'Datasets' sheet; weights from 'Rules'.</t>
        </is>
      </c>
    </row>
    <row r="2" ht="144.75" customHeight="1">
      <c r="A2" s="3" t="inlineStr">
        <is>
          <t>Sno</t>
        </is>
      </c>
      <c r="B2" s="3" t="inlineStr">
        <is>
          <t>Team</t>
        </is>
      </c>
      <c r="C2" s="3" t="inlineStr">
        <is>
          <t>Track (Dataset Code)</t>
        </is>
      </c>
      <c r="D2" s="3" t="inlineStr">
        <is>
          <t>Kind 1 given</t>
        </is>
      </c>
      <c r="E2" s="4" t="inlineStr">
        <is>
          <t>Kind 1 names available (comma separated; given pattern first)</t>
        </is>
      </c>
      <c r="F2" s="4" t="inlineStr">
        <is>
          <t>Kind 1 names identified beyond the given one (comma separated)</t>
        </is>
      </c>
      <c r="G2" s="5" t="inlineStr">
        <is>
          <t>Kind 1 Coverage Percent</t>
        </is>
      </c>
      <c r="H2" s="6" t="inlineStr">
        <is>
          <t>Kind 1 selection justified? Scale (1-10) Give 1 for not able to explain and 10 for the best explanation. All else in between</t>
        </is>
      </c>
      <c r="I2" s="4" t="inlineStr">
        <is>
          <t>Kind 2 names available (comma separated)</t>
        </is>
      </c>
      <c r="J2" s="4" t="inlineStr">
        <is>
          <t>Kind 2 names rejected (comma separated; list only traps the team rejected)</t>
        </is>
      </c>
      <c r="K2" s="5" t="inlineStr">
        <is>
          <t>Kind 2 Coverage Percent</t>
        </is>
      </c>
      <c r="L2" s="6" t="inlineStr">
        <is>
          <t>Kind 2 rejection justified? Scale (1-10) Give 1 for not able to explain and 10 for the best explanation. All else in between</t>
        </is>
      </c>
      <c r="M2" s="6" t="inlineStr">
        <is>
          <t>From the public queries, any observation where Baseline and grounded answers do not agree?Scale (1-10) Give 1 for not able to explain and 10 for the best explanation. All else in between</t>
        </is>
      </c>
      <c r="N2" s="6" t="inlineStr">
        <is>
          <t>Ability to explain the public outcomes? Including regular expressions and the graph (neo4j visual, or the lookup tables for no-Neo4j teams). Check public pack from submission. Scale (1-10) Give 1 for not able to explain and 10 for the best explanation. All else in between</t>
        </is>
      </c>
      <c r="O2" s="4" t="inlineStr">
        <is>
          <t>Number of Hidden Adversarial queries</t>
        </is>
      </c>
      <c r="P2" s="4" t="inlineStr">
        <is>
          <t>Number of Grounded Pass in Hidden Adversarial queries</t>
        </is>
      </c>
      <c r="Q2" s="5" t="inlineStr">
        <is>
          <t>Hidden adversarial Coverage percent</t>
        </is>
      </c>
      <c r="R2" s="4" t="inlineStr">
        <is>
          <t>Number of Hidden Positive Queries</t>
        </is>
      </c>
      <c r="S2" s="4" t="inlineStr">
        <is>
          <t>Number of Grounded Pass in Hidden Positive queries</t>
        </is>
      </c>
      <c r="T2" s="5" t="inlineStr">
        <is>
          <t>Hidden positive Coverage percent</t>
        </is>
      </c>
      <c r="U2" s="6" t="inlineStr">
        <is>
          <t>Runs the notebook end to end with demo clarity. Scale (1-10) Give 1 for not able to explain and 10 for the best explanation. All else in between.</t>
        </is>
      </c>
      <c r="V2" s="4" t="inlineStr">
        <is>
          <t>Coverage percent (average of the four percentages)</t>
        </is>
      </c>
      <c r="W2" s="4" t="inlineStr">
        <is>
          <t>Qualitative Coverage (Scale questions / Total)</t>
        </is>
      </c>
      <c r="X2" s="4" t="inlineStr">
        <is>
          <t>Patterns score (0-100)</t>
        </is>
      </c>
      <c r="Y2" s="4" t="inlineStr">
        <is>
          <t>Explaining outcomes (0-100)</t>
        </is>
      </c>
      <c r="Z2" s="4" t="inlineStr">
        <is>
          <t>Adversarial credit % (scaled by positive result)</t>
        </is>
      </c>
      <c r="AA2" s="4" t="inlineStr">
        <is>
          <t>WEIGHTED TOTAL (0-100)</t>
        </is>
      </c>
      <c r="AB2" s="4" t="inlineStr">
        <is>
          <t>Rank</t>
        </is>
      </c>
    </row>
    <row r="3" ht="159" customHeight="1">
      <c r="A3" s="3" t="n"/>
      <c r="B3" s="3" t="n"/>
      <c r="C3" s="3" t="n"/>
      <c r="D3" s="3" t="n"/>
      <c r="E3" s="4" t="n"/>
      <c r="F3" s="4" t="n"/>
      <c r="G3" s="5" t="n"/>
      <c r="H3" s="6" t="inlineStr">
        <is>
          <t>Tip - Scores the EXPLANATION only (finding is already in Kind 1 Coverage). 1 = cannot explain, 10 = every selection explained accurately. Refer Reference solution notebook</t>
        </is>
      </c>
      <c r="I3" s="4" t="n"/>
      <c r="J3" s="4" t="n"/>
      <c r="K3" s="5" t="n"/>
      <c r="L3" s="6" t="inlineStr">
        <is>
          <t>Tip - Scores the EXPLANATION only. If nothing was rejected give 1. 10 = every rejection explained with evidence from the data. Refer Reference solution notebook</t>
        </is>
      </c>
      <c r="M3" s="6" t="inlineStr">
        <is>
          <t>Tip - Finds one or more such baselines - 2, Explains why baseline fails - 4, explains why grounded worked - 4</t>
        </is>
      </c>
      <c r="N3" s="6" t="inlineStr">
        <is>
          <t>Tip - Explains Regex patterns - 2, Explains neo4j visual 4, explain public outcomes - 4</t>
        </is>
      </c>
      <c r="O3" s="4" t="n"/>
      <c r="P3" s="4" t="n"/>
      <c r="Q3" s="5" t="n"/>
      <c r="R3" s="4" t="n"/>
      <c r="S3" s="4" t="n"/>
      <c r="T3" s="5" t="n"/>
      <c r="U3" s="6" t="inlineStr">
        <is>
          <t>Tip - End to end run 5, Demo clarity 5</t>
        </is>
      </c>
      <c r="V3" s="3" t="n"/>
      <c r="W3" s="3" t="n"/>
    </row>
    <row r="4" ht="28.5" customHeight="1">
      <c r="A4" s="7" t="n">
        <v>1</v>
      </c>
      <c r="B4" s="8" t="inlineStr">
        <is>
          <t>Sample1</t>
        </is>
      </c>
      <c r="C4" s="8" t="inlineStr">
        <is>
          <t>PAY</t>
        </is>
      </c>
      <c r="D4" s="9">
        <f>IF(C4="","",IFERROR(VLOOKUP(C4,Datasets!$A$2:$D$6,2,FALSE()),""))</f>
        <v/>
      </c>
      <c r="E4" s="9">
        <f>IF(C4="","",IFERROR(VLOOKUP(C4,Datasets!$A$2:$D$6,3,FALSE()),""))</f>
        <v/>
      </c>
      <c r="F4" s="8" t="inlineStr">
        <is>
          <t>Invoice</t>
        </is>
      </c>
      <c r="G4" s="10">
        <f>IF(C4="","",MIN(100,IF(TRIM(F4)="",0,LEN(F4)-LEN(SUBSTITUTE(F4,",",""))+1)/Rules!$B$9*100))</f>
        <v/>
      </c>
      <c r="H4" s="8" t="n">
        <v>1</v>
      </c>
      <c r="I4" s="9">
        <f>IF(C4="","",IFERROR(VLOOKUP(C4,Datasets!$A$2:$D$6,4,FALSE()),""))</f>
        <v/>
      </c>
      <c r="J4" s="8" t="n"/>
      <c r="K4" s="10">
        <f>IF(C4="","",MIN(100,IF(TRIM(J4)="",0,LEN(J4)-LEN(SUBSTITUTE(J4,",",""))+1)/Rules!$B$10*100))</f>
        <v/>
      </c>
      <c r="L4" s="8" t="n">
        <v>1</v>
      </c>
      <c r="M4" s="8" t="n">
        <v>6</v>
      </c>
      <c r="N4" s="8" t="n">
        <v>1</v>
      </c>
      <c r="O4" s="9">
        <f>IF(C4="","",9)</f>
        <v/>
      </c>
      <c r="P4" s="8" t="n">
        <v>9</v>
      </c>
      <c r="Q4" s="10">
        <f>IF(OR(C4="",P4=""),"",P4/O4*100)</f>
        <v/>
      </c>
      <c r="R4" s="9">
        <f>IF(C4="","",4)</f>
        <v/>
      </c>
      <c r="S4" s="8" t="n">
        <v>1</v>
      </c>
      <c r="T4" s="10">
        <f>IF(OR(C4="",S4=""),"",S4/R4*100)</f>
        <v/>
      </c>
      <c r="U4" s="8" t="n">
        <v>8</v>
      </c>
      <c r="V4" s="10">
        <f>IF(OR(G4="",K4="",Q4="",T4=""),"",ROUND(AVERAGE(G4,K4,Q4,T4),0))</f>
        <v/>
      </c>
      <c r="W4" s="10">
        <f>IF(COUNT(H4,L4,M4,N4,U4)&lt;5,"",ROUND((H4+L4+M4+N4+U4)/50*100,0))</f>
        <v/>
      </c>
      <c r="X4" s="9">
        <f>IF(OR(G4="",K4="",H4="",L4=""),"",ROUND(AVERAGE(G4,K4,H4*10,L4*10),1))</f>
        <v/>
      </c>
      <c r="Y4" s="9">
        <f>IF(COUNT(M4,N4)&lt;2,"",ROUND((M4+N4)/20*100,1))</f>
        <v/>
      </c>
      <c r="Z4" s="9">
        <f>IF(OR(Q4="",T4=""),"",ROUND(IF(Rules!$B$8=1,Q4*(0.5+0.5*T4/100),Q4),1))</f>
        <v/>
      </c>
      <c r="AA4" s="11">
        <f>IF(OR(Z4="",T4="",X4="",Y4="",U4=""),"",ROUND((Rules!$B$3*Z4+Rules!$B$4*T4+Rules!$B$5*X4+Rules!$B$6*Y4+Rules!$B$7*U4*10)/100,1))</f>
        <v/>
      </c>
      <c r="AB4" s="9">
        <f>IF(AA4="","",RANK(AA4,$AA$4:$AA$33,0))</f>
        <v/>
      </c>
    </row>
    <row r="5" ht="43.5" customHeight="1">
      <c r="A5" s="7" t="n">
        <v>2</v>
      </c>
      <c r="B5" s="8" t="inlineStr">
        <is>
          <t>Sample2</t>
        </is>
      </c>
      <c r="C5" s="8" t="inlineStr">
        <is>
          <t>RISK</t>
        </is>
      </c>
      <c r="D5" s="9">
        <f>IF(C5="","",IFERROR(VLOOKUP(C5,Datasets!$A$2:$D$6,2,FALSE()),""))</f>
        <v/>
      </c>
      <c r="E5" s="9">
        <f>IF(C5="","",IFERROR(VLOOKUP(C5,Datasets!$A$2:$D$6,3,FALSE()),""))</f>
        <v/>
      </c>
      <c r="F5" s="8" t="inlineStr">
        <is>
          <t>Incident</t>
        </is>
      </c>
      <c r="G5" s="9">
        <f>IF(C5="","",MIN(100,IF(TRIM(F5)="",0,LEN(F5)-LEN(SUBSTITUTE(F5,",",""))+1)/Rules!$B$9*100))</f>
        <v/>
      </c>
      <c r="H5" s="8" t="n">
        <v>2</v>
      </c>
      <c r="I5" s="9">
        <f>IF(C5="","",IFERROR(VLOOKUP(C5,Datasets!$A$2:$D$6,4,FALSE()),""))</f>
        <v/>
      </c>
      <c r="J5" s="8" t="inlineStr">
        <is>
          <t>Rack</t>
        </is>
      </c>
      <c r="K5" s="9">
        <f>IF(C5="","",MIN(100,IF(TRIM(J5)="",0,LEN(J5)-LEN(SUBSTITUTE(J5,",",""))+1)/Rules!$B$10*100))</f>
        <v/>
      </c>
      <c r="L5" s="8" t="n">
        <v>2</v>
      </c>
      <c r="M5" s="8" t="n">
        <v>2</v>
      </c>
      <c r="N5" s="8" t="n">
        <v>4</v>
      </c>
      <c r="O5" s="9">
        <f>IF(C5="","",9)</f>
        <v/>
      </c>
      <c r="P5" s="8" t="n">
        <v>9</v>
      </c>
      <c r="Q5" s="9">
        <f>IF(OR(C5="",P5=""),"",P5/O5*100)</f>
        <v/>
      </c>
      <c r="R5" s="9">
        <f>IF(C5="","",4)</f>
        <v/>
      </c>
      <c r="S5" s="8" t="n">
        <v>1</v>
      </c>
      <c r="T5" s="9">
        <f>IF(OR(C5="",S5=""),"",S5/R5*100)</f>
        <v/>
      </c>
      <c r="U5" s="8" t="n">
        <v>8</v>
      </c>
      <c r="V5" s="9">
        <f>IF(OR(G5="",K5="",Q5="",T5=""),"",ROUND(AVERAGE(G5,K5,Q5,T5),0))</f>
        <v/>
      </c>
      <c r="W5" s="9">
        <f>IF(COUNT(H5,L5,M5,N5,U5)&lt;5,"",ROUND((H5+L5+M5+N5+U5)/50*100,0))</f>
        <v/>
      </c>
      <c r="X5" s="9">
        <f>IF(OR(G5="",K5="",H5="",L5=""),"",ROUND(AVERAGE(G5,K5,H5*10,L5*10),1))</f>
        <v/>
      </c>
      <c r="Y5" s="9">
        <f>IF(COUNT(M5,N5)&lt;2,"",ROUND((M5+N5)/20*100,1))</f>
        <v/>
      </c>
      <c r="Z5" s="9">
        <f>IF(OR(Q5="",T5=""),"",ROUND(IF(Rules!$B$8=1,Q5*(0.5+0.5*T5/100),Q5),1))</f>
        <v/>
      </c>
      <c r="AA5" s="11">
        <f>IF(OR(Z5="",T5="",X5="",Y5="",U5=""),"",ROUND((Rules!$B$3*Z5+Rules!$B$4*T5+Rules!$B$5*X5+Rules!$B$6*Y5+Rules!$B$7*U5*10)/100,1))</f>
        <v/>
      </c>
      <c r="AB5" s="9">
        <f>IF(AA5="","",RANK(AA5,$AA$4:$AA$33,0))</f>
        <v/>
      </c>
    </row>
    <row r="6" ht="29" customHeight="1">
      <c r="A6" s="7" t="n">
        <v>3</v>
      </c>
      <c r="B6" s="8" t="inlineStr">
        <is>
          <t>Sample3</t>
        </is>
      </c>
      <c r="C6" s="8" t="inlineStr">
        <is>
          <t>CLN</t>
        </is>
      </c>
      <c r="D6" s="9">
        <f>IF(C6="","",IFERROR(VLOOKUP(C6,Datasets!$A$2:$D$6,2,FALSE()),""))</f>
        <v/>
      </c>
      <c r="E6" s="9">
        <f>IF(C6="","",IFERROR(VLOOKUP(C6,Datasets!$A$2:$D$6,3,FALSE()),""))</f>
        <v/>
      </c>
      <c r="F6" s="8" t="inlineStr">
        <is>
          <t>Patient, Prescription</t>
        </is>
      </c>
      <c r="G6" s="9">
        <f>IF(C6="","",MIN(100,IF(TRIM(F6)="",0,LEN(F6)-LEN(SUBSTITUTE(F6,",",""))+1)/Rules!$B$9*100))</f>
        <v/>
      </c>
      <c r="H6" s="8" t="n">
        <v>4</v>
      </c>
      <c r="I6" s="9">
        <f>IF(C6="","",IFERROR(VLOOKUP(C6,Datasets!$A$2:$D$6,4,FALSE()),""))</f>
        <v/>
      </c>
      <c r="J6" s="8" t="inlineStr">
        <is>
          <t>Ward, Wing</t>
        </is>
      </c>
      <c r="K6" s="9">
        <f>IF(C6="","",MIN(100,IF(TRIM(J6)="",0,LEN(J6)-LEN(SUBSTITUTE(J6,",",""))+1)/Rules!$B$10*100))</f>
        <v/>
      </c>
      <c r="L6" s="8" t="n">
        <v>4</v>
      </c>
      <c r="M6" s="8" t="n">
        <v>4</v>
      </c>
      <c r="N6" s="8" t="n">
        <v>6</v>
      </c>
      <c r="O6" s="9">
        <f>IF(C6="","",9)</f>
        <v/>
      </c>
      <c r="P6" s="8" t="n">
        <v>9</v>
      </c>
      <c r="Q6" s="9">
        <f>IF(OR(C6="",P6=""),"",P6/O6*100)</f>
        <v/>
      </c>
      <c r="R6" s="9">
        <f>IF(C6="","",4)</f>
        <v/>
      </c>
      <c r="S6" s="8" t="n">
        <v>1</v>
      </c>
      <c r="T6" s="9">
        <f>IF(OR(C6="",S6=""),"",S6/R6*100)</f>
        <v/>
      </c>
      <c r="U6" s="8" t="n">
        <v>6</v>
      </c>
      <c r="V6" s="9">
        <f>IF(OR(G6="",K6="",Q6="",T6=""),"",ROUND(AVERAGE(G6,K6,Q6,T6),0))</f>
        <v/>
      </c>
      <c r="W6" s="9">
        <f>IF(COUNT(H6,L6,M6,N6,U6)&lt;5,"",ROUND((H6+L6+M6+N6+U6)/50*100,0))</f>
        <v/>
      </c>
      <c r="X6" s="9">
        <f>IF(OR(G6="",K6="",H6="",L6=""),"",ROUND(AVERAGE(G6,K6,H6*10,L6*10),1))</f>
        <v/>
      </c>
      <c r="Y6" s="9">
        <f>IF(COUNT(M6,N6)&lt;2,"",ROUND((M6+N6)/20*100,1))</f>
        <v/>
      </c>
      <c r="Z6" s="9">
        <f>IF(OR(Q6="",T6=""),"",ROUND(IF(Rules!$B$8=1,Q6*(0.5+0.5*T6/100),Q6),1))</f>
        <v/>
      </c>
      <c r="AA6" s="11">
        <f>IF(OR(Z6="",T6="",X6="",Y6="",U6=""),"",ROUND((Rules!$B$3*Z6+Rules!$B$4*T6+Rules!$B$5*X6+Rules!$B$6*Y6+Rules!$B$7*U6*10)/100,1))</f>
        <v/>
      </c>
      <c r="AB6" s="9">
        <f>IF(AA6="","",RANK(AA6,$AA$4:$AA$33,0))</f>
        <v/>
      </c>
    </row>
    <row r="7" ht="29" customHeight="1">
      <c r="A7" s="7" t="n">
        <v>4</v>
      </c>
      <c r="B7" s="8" t="inlineStr">
        <is>
          <t>Sample4</t>
        </is>
      </c>
      <c r="C7" s="8" t="inlineStr">
        <is>
          <t>ORD</t>
        </is>
      </c>
      <c r="D7" s="9">
        <f>IF(C7="","",IFERROR(VLOOKUP(C7,Datasets!$A$2:$D$6,2,FALSE()),""))</f>
        <v/>
      </c>
      <c r="E7" s="9">
        <f>IF(C7="","",IFERROR(VLOOKUP(C7,Datasets!$A$2:$D$6,3,FALSE()),""))</f>
        <v/>
      </c>
      <c r="F7" s="8" t="inlineStr">
        <is>
          <t>Order, Driver, Customer, Return</t>
        </is>
      </c>
      <c r="G7" s="9">
        <f>IF(C7="","",MIN(100,IF(TRIM(F7)="",0,LEN(F7)-LEN(SUBSTITUTE(F7,",",""))+1)/Rules!$B$9*100))</f>
        <v/>
      </c>
      <c r="H7" s="8" t="n">
        <v>7</v>
      </c>
      <c r="I7" s="9">
        <f>IF(C7="","",IFERROR(VLOOKUP(C7,Datasets!$A$2:$D$6,4,FALSE()),""))</f>
        <v/>
      </c>
      <c r="J7" s="8" t="inlineStr">
        <is>
          <t>Dock. Zone</t>
        </is>
      </c>
      <c r="K7" s="9">
        <f>IF(C7="","",MIN(100,IF(TRIM(J7)="",0,LEN(J7)-LEN(SUBSTITUTE(J7,",",""))+1)/Rules!$B$10*100))</f>
        <v/>
      </c>
      <c r="L7" s="8" t="n">
        <v>6</v>
      </c>
      <c r="M7" s="8" t="n">
        <v>7</v>
      </c>
      <c r="N7" s="8" t="n">
        <v>6</v>
      </c>
      <c r="O7" s="9">
        <f>IF(C7="","",9)</f>
        <v/>
      </c>
      <c r="P7" s="8" t="n">
        <v>9</v>
      </c>
      <c r="Q7" s="9">
        <f>IF(OR(C7="",P7=""),"",P7/O7*100)</f>
        <v/>
      </c>
      <c r="R7" s="9">
        <f>IF(C7="","",4)</f>
        <v/>
      </c>
      <c r="S7" s="8" t="n">
        <v>2</v>
      </c>
      <c r="T7" s="9">
        <f>IF(OR(C7="",S7=""),"",S7/R7*100)</f>
        <v/>
      </c>
      <c r="U7" s="8" t="n">
        <v>7</v>
      </c>
      <c r="V7" s="9">
        <f>IF(OR(G7="",K7="",Q7="",T7=""),"",ROUND(AVERAGE(G7,K7,Q7,T7),0))</f>
        <v/>
      </c>
      <c r="W7" s="9">
        <f>IF(COUNT(H7,L7,M7,N7,U7)&lt;5,"",ROUND((H7+L7+M7+N7+U7)/50*100,0))</f>
        <v/>
      </c>
      <c r="X7" s="9">
        <f>IF(OR(G7="",K7="",H7="",L7=""),"",ROUND(AVERAGE(G7,K7,H7*10,L7*10),1))</f>
        <v/>
      </c>
      <c r="Y7" s="9">
        <f>IF(COUNT(M7,N7)&lt;2,"",ROUND((M7+N7)/20*100,1))</f>
        <v/>
      </c>
      <c r="Z7" s="9">
        <f>IF(OR(Q7="",T7=""),"",ROUND(IF(Rules!$B$8=1,Q7*(0.5+0.5*T7/100),Q7),1))</f>
        <v/>
      </c>
      <c r="AA7" s="11">
        <f>IF(OR(Z7="",T7="",X7="",Y7="",U7=""),"",ROUND((Rules!$B$3*Z7+Rules!$B$4*T7+Rules!$B$5*X7+Rules!$B$6*Y7+Rules!$B$7*U7*10)/100,1))</f>
        <v/>
      </c>
      <c r="AB7" s="9">
        <f>IF(AA7="","",RANK(AA7,$AA$4:$AA$33,0))</f>
        <v/>
      </c>
    </row>
    <row r="8" ht="29" customHeight="1">
      <c r="A8" s="7" t="n">
        <v>5</v>
      </c>
      <c r="B8" s="8" t="inlineStr">
        <is>
          <t>Sample5</t>
        </is>
      </c>
      <c r="C8" s="8" t="inlineStr">
        <is>
          <t>HR</t>
        </is>
      </c>
      <c r="D8" s="9">
        <f>IF(C8="","",IFERROR(VLOOKUP(C8,Datasets!$A$2:$D$6,2,FALSE()),""))</f>
        <v/>
      </c>
      <c r="E8" s="9">
        <f>IF(C8="","",IFERROR(VLOOKUP(C8,Datasets!$A$2:$D$6,3,FALSE()),""))</f>
        <v/>
      </c>
      <c r="F8" s="8" t="inlineStr">
        <is>
          <t>Employee, Case</t>
        </is>
      </c>
      <c r="G8" s="9">
        <f>IF(C8="","",MIN(100,IF(TRIM(F8)="",0,LEN(F8)-LEN(SUBSTITUTE(F8,",",""))+1)/Rules!$B$9*100))</f>
        <v/>
      </c>
      <c r="H8" s="8" t="n">
        <v>4</v>
      </c>
      <c r="I8" s="9">
        <f>IF(C8="","",IFERROR(VLOOKUP(C8,Datasets!$A$2:$D$6,4,FALSE()),""))</f>
        <v/>
      </c>
      <c r="J8" s="8" t="inlineStr">
        <is>
          <t>Amount</t>
        </is>
      </c>
      <c r="K8" s="9">
        <f>IF(C8="","",MIN(100,IF(TRIM(J8)="",0,LEN(J8)-LEN(SUBSTITUTE(J8,",",""))+1)/Rules!$B$10*100))</f>
        <v/>
      </c>
      <c r="L8" s="8" t="n">
        <v>2</v>
      </c>
      <c r="M8" s="8" t="n">
        <v>4</v>
      </c>
      <c r="N8" s="8" t="n">
        <v>4</v>
      </c>
      <c r="O8" s="9">
        <f>IF(C8="","",9)</f>
        <v/>
      </c>
      <c r="P8" s="8" t="n">
        <v>9</v>
      </c>
      <c r="Q8" s="9">
        <f>IF(OR(C8="",P8=""),"",P8/O8*100)</f>
        <v/>
      </c>
      <c r="R8" s="9">
        <f>IF(C8="","",4)</f>
        <v/>
      </c>
      <c r="S8" s="8" t="n">
        <v>1</v>
      </c>
      <c r="T8" s="9">
        <f>IF(OR(C8="",S8=""),"",S8/R8*100)</f>
        <v/>
      </c>
      <c r="U8" s="8" t="n">
        <v>3</v>
      </c>
      <c r="V8" s="9">
        <f>IF(OR(G8="",K8="",Q8="",T8=""),"",ROUND(AVERAGE(G8,K8,Q8,T8),0))</f>
        <v/>
      </c>
      <c r="W8" s="9">
        <f>IF(COUNT(H8,L8,M8,N8,U8)&lt;5,"",ROUND((H8+L8+M8+N8+U8)/50*100,0))</f>
        <v/>
      </c>
      <c r="X8" s="9">
        <f>IF(OR(G8="",K8="",H8="",L8=""),"",ROUND(AVERAGE(G8,K8,H8*10,L8*10),1))</f>
        <v/>
      </c>
      <c r="Y8" s="9">
        <f>IF(COUNT(M8,N8)&lt;2,"",ROUND((M8+N8)/20*100,1))</f>
        <v/>
      </c>
      <c r="Z8" s="9">
        <f>IF(OR(Q8="",T8=""),"",ROUND(IF(Rules!$B$8=1,Q8*(0.5+0.5*T8/100),Q8),1))</f>
        <v/>
      </c>
      <c r="AA8" s="11">
        <f>IF(OR(Z8="",T8="",X8="",Y8="",U8=""),"",ROUND((Rules!$B$3*Z8+Rules!$B$4*T8+Rules!$B$5*X8+Rules!$B$6*Y8+Rules!$B$7*U8*10)/100,1))</f>
        <v/>
      </c>
      <c r="AB8" s="9">
        <f>IF(AA8="","",RANK(AA8,$AA$4:$AA$33,0))</f>
        <v/>
      </c>
    </row>
    <row r="9" ht="14.25" customHeight="1">
      <c r="A9" s="7" t="n">
        <v>6</v>
      </c>
      <c r="B9" s="8" t="n"/>
      <c r="C9" s="8" t="n"/>
      <c r="D9" s="9">
        <f>IF(C9="","",IFERROR(VLOOKUP(C9,Datasets!$A$2:$D$6,2,FALSE()),""))</f>
        <v/>
      </c>
      <c r="E9" s="9">
        <f>IF(C9="","",IFERROR(VLOOKUP(C9,Datasets!$A$2:$D$6,3,FALSE()),""))</f>
        <v/>
      </c>
      <c r="F9" s="8" t="n"/>
      <c r="G9" s="9">
        <f>IF(C9="","",MIN(100,IF(TRIM(F9)="",0,LEN(F9)-LEN(SUBSTITUTE(F9,",",""))+1)/Rules!$B$9*100))</f>
        <v/>
      </c>
      <c r="H9" s="8" t="n"/>
      <c r="I9" s="9">
        <f>IF(C9="","",IFERROR(VLOOKUP(C9,Datasets!$A$2:$D$6,4,FALSE()),""))</f>
        <v/>
      </c>
      <c r="J9" s="8" t="n"/>
      <c r="K9" s="9">
        <f>IF(C9="","",MIN(100,IF(TRIM(J9)="",0,LEN(J9)-LEN(SUBSTITUTE(J9,",",""))+1)/Rules!$B$10*100))</f>
        <v/>
      </c>
      <c r="L9" s="8" t="n"/>
      <c r="M9" s="8" t="n"/>
      <c r="N9" s="8" t="n"/>
      <c r="O9" s="9">
        <f>IF(C9="","",9)</f>
        <v/>
      </c>
      <c r="P9" s="8" t="n"/>
      <c r="Q9" s="9">
        <f>IF(OR(C9="",P9=""),"",P9/O9*100)</f>
        <v/>
      </c>
      <c r="R9" s="9">
        <f>IF(C9="","",4)</f>
        <v/>
      </c>
      <c r="S9" s="8" t="n"/>
      <c r="T9" s="9">
        <f>IF(OR(C9="",S9=""),"",S9/R9*100)</f>
        <v/>
      </c>
      <c r="U9" s="8" t="n"/>
      <c r="V9" s="9">
        <f>IF(OR(G9="",K9="",Q9="",T9=""),"",ROUND(AVERAGE(G9,K9,Q9,T9),0))</f>
        <v/>
      </c>
      <c r="W9" s="9">
        <f>IF(COUNT(H9,L9,M9,N9,U9)&lt;5,"",ROUND((H9+L9+M9+N9+U9)/50*100,0))</f>
        <v/>
      </c>
      <c r="X9" s="9">
        <f>IF(OR(G9="",K9="",H9="",L9=""),"",ROUND(AVERAGE(G9,K9,H9*10,L9*10),1))</f>
        <v/>
      </c>
      <c r="Y9" s="9">
        <f>IF(COUNT(M9,N9)&lt;2,"",ROUND((M9+N9)/20*100,1))</f>
        <v/>
      </c>
      <c r="Z9" s="9">
        <f>IF(OR(Q9="",T9=""),"",ROUND(IF(Rules!$B$8=1,Q9*(0.5+0.5*T9/100),Q9),1))</f>
        <v/>
      </c>
      <c r="AA9" s="11">
        <f>IF(OR(Z9="",T9="",X9="",Y9="",U9=""),"",ROUND((Rules!$B$3*Z9+Rules!$B$4*T9+Rules!$B$5*X9+Rules!$B$6*Y9+Rules!$B$7*U9*10)/100,1))</f>
        <v/>
      </c>
      <c r="AB9" s="9">
        <f>IF(AA9="","",RANK(AA9,$AA$4:$AA$33,0))</f>
        <v/>
      </c>
    </row>
    <row r="10" ht="14.25" customHeight="1">
      <c r="A10" s="7" t="n">
        <v>7</v>
      </c>
      <c r="B10" s="8" t="n"/>
      <c r="C10" s="8" t="n"/>
      <c r="D10" s="9">
        <f>IF(C10="","",IFERROR(VLOOKUP(C10,Datasets!$A$2:$D$6,2,FALSE()),""))</f>
        <v/>
      </c>
      <c r="E10" s="9">
        <f>IF(C10="","",IFERROR(VLOOKUP(C10,Datasets!$A$2:$D$6,3,FALSE()),""))</f>
        <v/>
      </c>
      <c r="F10" s="8" t="n"/>
      <c r="G10" s="9">
        <f>IF(C10="","",MIN(100,IF(TRIM(F10)="",0,LEN(F10)-LEN(SUBSTITUTE(F10,",",""))+1)/Rules!$B$9*100))</f>
        <v/>
      </c>
      <c r="H10" s="8" t="n"/>
      <c r="I10" s="9">
        <f>IF(C10="","",IFERROR(VLOOKUP(C10,Datasets!$A$2:$D$6,4,FALSE()),""))</f>
        <v/>
      </c>
      <c r="J10" s="8" t="n"/>
      <c r="K10" s="9">
        <f>IF(C10="","",MIN(100,IF(TRIM(J10)="",0,LEN(J10)-LEN(SUBSTITUTE(J10,",",""))+1)/Rules!$B$10*100))</f>
        <v/>
      </c>
      <c r="L10" s="8" t="n"/>
      <c r="M10" s="8" t="n"/>
      <c r="N10" s="8" t="n"/>
      <c r="O10" s="9">
        <f>IF(C10="","",9)</f>
        <v/>
      </c>
      <c r="P10" s="8" t="n"/>
      <c r="Q10" s="9">
        <f>IF(OR(C10="",P10=""),"",P10/O10*100)</f>
        <v/>
      </c>
      <c r="R10" s="9">
        <f>IF(C10="","",4)</f>
        <v/>
      </c>
      <c r="S10" s="8" t="n"/>
      <c r="T10" s="9">
        <f>IF(OR(C10="",S10=""),"",S10/R10*100)</f>
        <v/>
      </c>
      <c r="U10" s="8" t="n"/>
      <c r="V10" s="9">
        <f>IF(OR(G10="",K10="",Q10="",T10=""),"",ROUND(AVERAGE(G10,K10,Q10,T10),0))</f>
        <v/>
      </c>
      <c r="W10" s="9">
        <f>IF(COUNT(H10,L10,M10,N10,U10)&lt;5,"",ROUND((H10+L10+M10+N10+U10)/50*100,0))</f>
        <v/>
      </c>
      <c r="X10" s="9">
        <f>IF(OR(G10="",K10="",H10="",L10=""),"",ROUND(AVERAGE(G10,K10,H10*10,L10*10),1))</f>
        <v/>
      </c>
      <c r="Y10" s="9">
        <f>IF(COUNT(M10,N10)&lt;2,"",ROUND((M10+N10)/20*100,1))</f>
        <v/>
      </c>
      <c r="Z10" s="9">
        <f>IF(OR(Q10="",T10=""),"",ROUND(IF(Rules!$B$8=1,Q10*(0.5+0.5*T10/100),Q10),1))</f>
        <v/>
      </c>
      <c r="AA10" s="11">
        <f>IF(OR(Z10="",T10="",X10="",Y10="",U10=""),"",ROUND((Rules!$B$3*Z10+Rules!$B$4*T10+Rules!$B$5*X10+Rules!$B$6*Y10+Rules!$B$7*U10*10)/100,1))</f>
        <v/>
      </c>
      <c r="AB10" s="9">
        <f>IF(AA10="","",RANK(AA10,$AA$4:$AA$33,0))</f>
        <v/>
      </c>
    </row>
    <row r="11" ht="14.25" customHeight="1">
      <c r="A11" s="7" t="n">
        <v>8</v>
      </c>
      <c r="B11" s="8" t="n"/>
      <c r="C11" s="8" t="n"/>
      <c r="D11" s="9">
        <f>IF(C11="","",IFERROR(VLOOKUP(C11,Datasets!$A$2:$D$6,2,FALSE()),""))</f>
        <v/>
      </c>
      <c r="E11" s="9">
        <f>IF(C11="","",IFERROR(VLOOKUP(C11,Datasets!$A$2:$D$6,3,FALSE()),""))</f>
        <v/>
      </c>
      <c r="F11" s="8" t="n"/>
      <c r="G11" s="9">
        <f>IF(C11="","",MIN(100,IF(TRIM(F11)="",0,LEN(F11)-LEN(SUBSTITUTE(F11,",",""))+1)/Rules!$B$9*100))</f>
        <v/>
      </c>
      <c r="H11" s="8" t="n"/>
      <c r="I11" s="9">
        <f>IF(C11="","",IFERROR(VLOOKUP(C11,Datasets!$A$2:$D$6,4,FALSE()),""))</f>
        <v/>
      </c>
      <c r="J11" s="8" t="n"/>
      <c r="K11" s="9">
        <f>IF(C11="","",MIN(100,IF(TRIM(J11)="",0,LEN(J11)-LEN(SUBSTITUTE(J11,",",""))+1)/Rules!$B$10*100))</f>
        <v/>
      </c>
      <c r="L11" s="8" t="n"/>
      <c r="M11" s="8" t="n"/>
      <c r="N11" s="8" t="n"/>
      <c r="O11" s="9">
        <f>IF(C11="","",9)</f>
        <v/>
      </c>
      <c r="P11" s="8" t="n"/>
      <c r="Q11" s="9">
        <f>IF(OR(C11="",P11=""),"",P11/O11*100)</f>
        <v/>
      </c>
      <c r="R11" s="9">
        <f>IF(C11="","",4)</f>
        <v/>
      </c>
      <c r="S11" s="8" t="n"/>
      <c r="T11" s="9">
        <f>IF(OR(C11="",S11=""),"",S11/R11*100)</f>
        <v/>
      </c>
      <c r="U11" s="8" t="n"/>
      <c r="V11" s="9">
        <f>IF(OR(G11="",K11="",Q11="",T11=""),"",ROUND(AVERAGE(G11,K11,Q11,T11),0))</f>
        <v/>
      </c>
      <c r="W11" s="9">
        <f>IF(COUNT(H11,L11,M11,N11,U11)&lt;5,"",ROUND((H11+L11+M11+N11+U11)/50*100,0))</f>
        <v/>
      </c>
      <c r="X11" s="9">
        <f>IF(OR(G11="",K11="",H11="",L11=""),"",ROUND(AVERAGE(G11,K11,H11*10,L11*10),1))</f>
        <v/>
      </c>
      <c r="Y11" s="9">
        <f>IF(COUNT(M11,N11)&lt;2,"",ROUND((M11+N11)/20*100,1))</f>
        <v/>
      </c>
      <c r="Z11" s="9">
        <f>IF(OR(Q11="",T11=""),"",ROUND(IF(Rules!$B$8=1,Q11*(0.5+0.5*T11/100),Q11),1))</f>
        <v/>
      </c>
      <c r="AA11" s="11">
        <f>IF(OR(Z11="",T11="",X11="",Y11="",U11=""),"",ROUND((Rules!$B$3*Z11+Rules!$B$4*T11+Rules!$B$5*X11+Rules!$B$6*Y11+Rules!$B$7*U11*10)/100,1))</f>
        <v/>
      </c>
      <c r="AB11" s="9">
        <f>IF(AA11="","",RANK(AA11,$AA$4:$AA$33,0))</f>
        <v/>
      </c>
    </row>
    <row r="12" ht="14.25" customHeight="1">
      <c r="A12" s="7" t="n">
        <v>9</v>
      </c>
      <c r="B12" s="8" t="n"/>
      <c r="C12" s="8" t="n"/>
      <c r="D12" s="9">
        <f>IF(C12="","",IFERROR(VLOOKUP(C12,Datasets!$A$2:$D$6,2,FALSE()),""))</f>
        <v/>
      </c>
      <c r="E12" s="9">
        <f>IF(C12="","",IFERROR(VLOOKUP(C12,Datasets!$A$2:$D$6,3,FALSE()),""))</f>
        <v/>
      </c>
      <c r="F12" s="8" t="n"/>
      <c r="G12" s="9">
        <f>IF(C12="","",MIN(100,IF(TRIM(F12)="",0,LEN(F12)-LEN(SUBSTITUTE(F12,",",""))+1)/Rules!$B$9*100))</f>
        <v/>
      </c>
      <c r="H12" s="8" t="n"/>
      <c r="I12" s="9">
        <f>IF(C12="","",IFERROR(VLOOKUP(C12,Datasets!$A$2:$D$6,4,FALSE()),""))</f>
        <v/>
      </c>
      <c r="J12" s="8" t="n"/>
      <c r="K12" s="9">
        <f>IF(C12="","",MIN(100,IF(TRIM(J12)="",0,LEN(J12)-LEN(SUBSTITUTE(J12,",",""))+1)/Rules!$B$10*100))</f>
        <v/>
      </c>
      <c r="L12" s="8" t="n"/>
      <c r="M12" s="8" t="n"/>
      <c r="N12" s="8" t="n"/>
      <c r="O12" s="9">
        <f>IF(C12="","",9)</f>
        <v/>
      </c>
      <c r="P12" s="8" t="n"/>
      <c r="Q12" s="9">
        <f>IF(OR(C12="",P12=""),"",P12/O12*100)</f>
        <v/>
      </c>
      <c r="R12" s="9">
        <f>IF(C12="","",4)</f>
        <v/>
      </c>
      <c r="S12" s="8" t="n"/>
      <c r="T12" s="9">
        <f>IF(OR(C12="",S12=""),"",S12/R12*100)</f>
        <v/>
      </c>
      <c r="U12" s="8" t="n"/>
      <c r="V12" s="9">
        <f>IF(OR(G12="",K12="",Q12="",T12=""),"",ROUND(AVERAGE(G12,K12,Q12,T12),0))</f>
        <v/>
      </c>
      <c r="W12" s="9">
        <f>IF(COUNT(H12,L12,M12,N12,U12)&lt;5,"",ROUND((H12+L12+M12+N12+U12)/50*100,0))</f>
        <v/>
      </c>
      <c r="X12" s="9">
        <f>IF(OR(G12="",K12="",H12="",L12=""),"",ROUND(AVERAGE(G12,K12,H12*10,L12*10),1))</f>
        <v/>
      </c>
      <c r="Y12" s="9">
        <f>IF(COUNT(M12,N12)&lt;2,"",ROUND((M12+N12)/20*100,1))</f>
        <v/>
      </c>
      <c r="Z12" s="9">
        <f>IF(OR(Q12="",T12=""),"",ROUND(IF(Rules!$B$8=1,Q12*(0.5+0.5*T12/100),Q12),1))</f>
        <v/>
      </c>
      <c r="AA12" s="11">
        <f>IF(OR(Z12="",T12="",X12="",Y12="",U12=""),"",ROUND((Rules!$B$3*Z12+Rules!$B$4*T12+Rules!$B$5*X12+Rules!$B$6*Y12+Rules!$B$7*U12*10)/100,1))</f>
        <v/>
      </c>
      <c r="AB12" s="9">
        <f>IF(AA12="","",RANK(AA12,$AA$4:$AA$33,0))</f>
        <v/>
      </c>
    </row>
    <row r="13" ht="14.25" customHeight="1">
      <c r="A13" s="7" t="n">
        <v>10</v>
      </c>
      <c r="B13" s="8" t="n"/>
      <c r="C13" s="8" t="n"/>
      <c r="D13" s="9">
        <f>IF(C13="","",IFERROR(VLOOKUP(C13,Datasets!$A$2:$D$6,2,FALSE()),""))</f>
        <v/>
      </c>
      <c r="E13" s="9">
        <f>IF(C13="","",IFERROR(VLOOKUP(C13,Datasets!$A$2:$D$6,3,FALSE()),""))</f>
        <v/>
      </c>
      <c r="F13" s="8" t="n"/>
      <c r="G13" s="9">
        <f>IF(C13="","",MIN(100,IF(TRIM(F13)="",0,LEN(F13)-LEN(SUBSTITUTE(F13,",",""))+1)/Rules!$B$9*100))</f>
        <v/>
      </c>
      <c r="H13" s="8" t="n"/>
      <c r="I13" s="9">
        <f>IF(C13="","",IFERROR(VLOOKUP(C13,Datasets!$A$2:$D$6,4,FALSE()),""))</f>
        <v/>
      </c>
      <c r="J13" s="8" t="n"/>
      <c r="K13" s="9">
        <f>IF(C13="","",MIN(100,IF(TRIM(J13)="",0,LEN(J13)-LEN(SUBSTITUTE(J13,",",""))+1)/Rules!$B$10*100))</f>
        <v/>
      </c>
      <c r="L13" s="8" t="n"/>
      <c r="M13" s="8" t="n"/>
      <c r="N13" s="8" t="n"/>
      <c r="O13" s="9">
        <f>IF(C13="","",9)</f>
        <v/>
      </c>
      <c r="P13" s="8" t="n"/>
      <c r="Q13" s="9">
        <f>IF(OR(C13="",P13=""),"",P13/O13*100)</f>
        <v/>
      </c>
      <c r="R13" s="9">
        <f>IF(C13="","",4)</f>
        <v/>
      </c>
      <c r="S13" s="8" t="n"/>
      <c r="T13" s="9">
        <f>IF(OR(C13="",S13=""),"",S13/R13*100)</f>
        <v/>
      </c>
      <c r="U13" s="8" t="n"/>
      <c r="V13" s="9">
        <f>IF(OR(G13="",K13="",Q13="",T13=""),"",ROUND(AVERAGE(G13,K13,Q13,T13),0))</f>
        <v/>
      </c>
      <c r="W13" s="9">
        <f>IF(COUNT(H13,L13,M13,N13,U13)&lt;5,"",ROUND((H13+L13+M13+N13+U13)/50*100,0))</f>
        <v/>
      </c>
      <c r="X13" s="9">
        <f>IF(OR(G13="",K13="",H13="",L13=""),"",ROUND(AVERAGE(G13,K13,H13*10,L13*10),1))</f>
        <v/>
      </c>
      <c r="Y13" s="9">
        <f>IF(COUNT(M13,N13)&lt;2,"",ROUND((M13+N13)/20*100,1))</f>
        <v/>
      </c>
      <c r="Z13" s="9">
        <f>IF(OR(Q13="",T13=""),"",ROUND(IF(Rules!$B$8=1,Q13*(0.5+0.5*T13/100),Q13),1))</f>
        <v/>
      </c>
      <c r="AA13" s="11">
        <f>IF(OR(Z13="",T13="",X13="",Y13="",U13=""),"",ROUND((Rules!$B$3*Z13+Rules!$B$4*T13+Rules!$B$5*X13+Rules!$B$6*Y13+Rules!$B$7*U13*10)/100,1))</f>
        <v/>
      </c>
      <c r="AB13" s="9">
        <f>IF(AA13="","",RANK(AA13,$AA$4:$AA$33,0))</f>
        <v/>
      </c>
    </row>
    <row r="14" ht="14.25" customHeight="1">
      <c r="A14" s="7" t="n">
        <v>11</v>
      </c>
      <c r="B14" s="8" t="n"/>
      <c r="C14" s="8" t="n"/>
      <c r="D14" s="9">
        <f>IF(C14="","",IFERROR(VLOOKUP(C14,Datasets!$A$2:$D$6,2,FALSE()),""))</f>
        <v/>
      </c>
      <c r="E14" s="9">
        <f>IF(C14="","",IFERROR(VLOOKUP(C14,Datasets!$A$2:$D$6,3,FALSE()),""))</f>
        <v/>
      </c>
      <c r="F14" s="8" t="n"/>
      <c r="G14" s="9">
        <f>IF(C14="","",MIN(100,IF(TRIM(F14)="",0,LEN(F14)-LEN(SUBSTITUTE(F14,",",""))+1)/Rules!$B$9*100))</f>
        <v/>
      </c>
      <c r="H14" s="8" t="n"/>
      <c r="I14" s="9">
        <f>IF(C14="","",IFERROR(VLOOKUP(C14,Datasets!$A$2:$D$6,4,FALSE()),""))</f>
        <v/>
      </c>
      <c r="J14" s="8" t="n"/>
      <c r="K14" s="9">
        <f>IF(C14="","",MIN(100,IF(TRIM(J14)="",0,LEN(J14)-LEN(SUBSTITUTE(J14,",",""))+1)/Rules!$B$10*100))</f>
        <v/>
      </c>
      <c r="L14" s="8" t="n"/>
      <c r="M14" s="8" t="n"/>
      <c r="N14" s="8" t="n"/>
      <c r="O14" s="9">
        <f>IF(C14="","",9)</f>
        <v/>
      </c>
      <c r="P14" s="8" t="n"/>
      <c r="Q14" s="9">
        <f>IF(OR(C14="",P14=""),"",P14/O14*100)</f>
        <v/>
      </c>
      <c r="R14" s="9">
        <f>IF(C14="","",4)</f>
        <v/>
      </c>
      <c r="S14" s="8" t="n"/>
      <c r="T14" s="9">
        <f>IF(OR(C14="",S14=""),"",S14/R14*100)</f>
        <v/>
      </c>
      <c r="U14" s="8" t="n"/>
      <c r="V14" s="9">
        <f>IF(OR(G14="",K14="",Q14="",T14=""),"",ROUND(AVERAGE(G14,K14,Q14,T14),0))</f>
        <v/>
      </c>
      <c r="W14" s="9">
        <f>IF(COUNT(H14,L14,M14,N14,U14)&lt;5,"",ROUND((H14+L14+M14+N14+U14)/50*100,0))</f>
        <v/>
      </c>
      <c r="X14" s="9">
        <f>IF(OR(G14="",K14="",H14="",L14=""),"",ROUND(AVERAGE(G14,K14,H14*10,L14*10),1))</f>
        <v/>
      </c>
      <c r="Y14" s="9">
        <f>IF(COUNT(M14,N14)&lt;2,"",ROUND((M14+N14)/20*100,1))</f>
        <v/>
      </c>
      <c r="Z14" s="9">
        <f>IF(OR(Q14="",T14=""),"",ROUND(IF(Rules!$B$8=1,Q14*(0.5+0.5*T14/100),Q14),1))</f>
        <v/>
      </c>
      <c r="AA14" s="11">
        <f>IF(OR(Z14="",T14="",X14="",Y14="",U14=""),"",ROUND((Rules!$B$3*Z14+Rules!$B$4*T14+Rules!$B$5*X14+Rules!$B$6*Y14+Rules!$B$7*U14*10)/100,1))</f>
        <v/>
      </c>
      <c r="AB14" s="9">
        <f>IF(AA14="","",RANK(AA14,$AA$4:$AA$33,0))</f>
        <v/>
      </c>
    </row>
    <row r="15" ht="14.25" customHeight="1">
      <c r="A15" s="7" t="n">
        <v>12</v>
      </c>
      <c r="B15" s="8" t="n"/>
      <c r="C15" s="8" t="n"/>
      <c r="D15" s="9">
        <f>IF(C15="","",IFERROR(VLOOKUP(C15,Datasets!$A$2:$D$6,2,FALSE()),""))</f>
        <v/>
      </c>
      <c r="E15" s="9">
        <f>IF(C15="","",IFERROR(VLOOKUP(C15,Datasets!$A$2:$D$6,3,FALSE()),""))</f>
        <v/>
      </c>
      <c r="F15" s="8" t="n"/>
      <c r="G15" s="9">
        <f>IF(C15="","",MIN(100,IF(TRIM(F15)="",0,LEN(F15)-LEN(SUBSTITUTE(F15,",",""))+1)/Rules!$B$9*100))</f>
        <v/>
      </c>
      <c r="H15" s="8" t="n"/>
      <c r="I15" s="9">
        <f>IF(C15="","",IFERROR(VLOOKUP(C15,Datasets!$A$2:$D$6,4,FALSE()),""))</f>
        <v/>
      </c>
      <c r="J15" s="8" t="n"/>
      <c r="K15" s="9">
        <f>IF(C15="","",MIN(100,IF(TRIM(J15)="",0,LEN(J15)-LEN(SUBSTITUTE(J15,",",""))+1)/Rules!$B$10*100))</f>
        <v/>
      </c>
      <c r="L15" s="8" t="n"/>
      <c r="M15" s="8" t="n"/>
      <c r="N15" s="8" t="n"/>
      <c r="O15" s="9">
        <f>IF(C15="","",9)</f>
        <v/>
      </c>
      <c r="P15" s="8" t="n"/>
      <c r="Q15" s="9">
        <f>IF(OR(C15="",P15=""),"",P15/O15*100)</f>
        <v/>
      </c>
      <c r="R15" s="9">
        <f>IF(C15="","",4)</f>
        <v/>
      </c>
      <c r="S15" s="8" t="n"/>
      <c r="T15" s="9">
        <f>IF(OR(C15="",S15=""),"",S15/R15*100)</f>
        <v/>
      </c>
      <c r="U15" s="8" t="n"/>
      <c r="V15" s="9">
        <f>IF(OR(G15="",K15="",Q15="",T15=""),"",ROUND(AVERAGE(G15,K15,Q15,T15),0))</f>
        <v/>
      </c>
      <c r="W15" s="9">
        <f>IF(COUNT(H15,L15,M15,N15,U15)&lt;5,"",ROUND((H15+L15+M15+N15+U15)/50*100,0))</f>
        <v/>
      </c>
      <c r="X15" s="9">
        <f>IF(OR(G15="",K15="",H15="",L15=""),"",ROUND(AVERAGE(G15,K15,H15*10,L15*10),1))</f>
        <v/>
      </c>
      <c r="Y15" s="9">
        <f>IF(COUNT(M15,N15)&lt;2,"",ROUND((M15+N15)/20*100,1))</f>
        <v/>
      </c>
      <c r="Z15" s="9">
        <f>IF(OR(Q15="",T15=""),"",ROUND(IF(Rules!$B$8=1,Q15*(0.5+0.5*T15/100),Q15),1))</f>
        <v/>
      </c>
      <c r="AA15" s="11">
        <f>IF(OR(Z15="",T15="",X15="",Y15="",U15=""),"",ROUND((Rules!$B$3*Z15+Rules!$B$4*T15+Rules!$B$5*X15+Rules!$B$6*Y15+Rules!$B$7*U15*10)/100,1))</f>
        <v/>
      </c>
      <c r="AB15" s="9">
        <f>IF(AA15="","",RANK(AA15,$AA$4:$AA$33,0))</f>
        <v/>
      </c>
    </row>
    <row r="16" ht="14.25" customHeight="1">
      <c r="A16" s="7" t="n">
        <v>13</v>
      </c>
      <c r="B16" s="8" t="n"/>
      <c r="C16" s="8" t="n"/>
      <c r="D16" s="9">
        <f>IF(C16="","",IFERROR(VLOOKUP(C16,Datasets!$A$2:$D$6,2,FALSE()),""))</f>
        <v/>
      </c>
      <c r="E16" s="9">
        <f>IF(C16="","",IFERROR(VLOOKUP(C16,Datasets!$A$2:$D$6,3,FALSE()),""))</f>
        <v/>
      </c>
      <c r="F16" s="8" t="n"/>
      <c r="G16" s="9">
        <f>IF(C16="","",MIN(100,IF(TRIM(F16)="",0,LEN(F16)-LEN(SUBSTITUTE(F16,",",""))+1)/Rules!$B$9*100))</f>
        <v/>
      </c>
      <c r="H16" s="8" t="n"/>
      <c r="I16" s="9">
        <f>IF(C16="","",IFERROR(VLOOKUP(C16,Datasets!$A$2:$D$6,4,FALSE()),""))</f>
        <v/>
      </c>
      <c r="J16" s="8" t="n"/>
      <c r="K16" s="9">
        <f>IF(C16="","",MIN(100,IF(TRIM(J16)="",0,LEN(J16)-LEN(SUBSTITUTE(J16,",",""))+1)/Rules!$B$10*100))</f>
        <v/>
      </c>
      <c r="L16" s="8" t="n"/>
      <c r="M16" s="8" t="n"/>
      <c r="N16" s="8" t="n"/>
      <c r="O16" s="9">
        <f>IF(C16="","",9)</f>
        <v/>
      </c>
      <c r="P16" s="8" t="n"/>
      <c r="Q16" s="9">
        <f>IF(OR(C16="",P16=""),"",P16/O16*100)</f>
        <v/>
      </c>
      <c r="R16" s="9">
        <f>IF(C16="","",4)</f>
        <v/>
      </c>
      <c r="S16" s="8" t="n"/>
      <c r="T16" s="9">
        <f>IF(OR(C16="",S16=""),"",S16/R16*100)</f>
        <v/>
      </c>
      <c r="U16" s="8" t="n"/>
      <c r="V16" s="9">
        <f>IF(OR(G16="",K16="",Q16="",T16=""),"",ROUND(AVERAGE(G16,K16,Q16,T16),0))</f>
        <v/>
      </c>
      <c r="W16" s="9">
        <f>IF(COUNT(H16,L16,M16,N16,U16)&lt;5,"",ROUND((H16+L16+M16+N16+U16)/50*100,0))</f>
        <v/>
      </c>
      <c r="X16" s="9">
        <f>IF(OR(G16="",K16="",H16="",L16=""),"",ROUND(AVERAGE(G16,K16,H16*10,L16*10),1))</f>
        <v/>
      </c>
      <c r="Y16" s="9">
        <f>IF(COUNT(M16,N16)&lt;2,"",ROUND((M16+N16)/20*100,1))</f>
        <v/>
      </c>
      <c r="Z16" s="9">
        <f>IF(OR(Q16="",T16=""),"",ROUND(IF(Rules!$B$8=1,Q16*(0.5+0.5*T16/100),Q16),1))</f>
        <v/>
      </c>
      <c r="AA16" s="11">
        <f>IF(OR(Z16="",T16="",X16="",Y16="",U16=""),"",ROUND((Rules!$B$3*Z16+Rules!$B$4*T16+Rules!$B$5*X16+Rules!$B$6*Y16+Rules!$B$7*U16*10)/100,1))</f>
        <v/>
      </c>
      <c r="AB16" s="9">
        <f>IF(AA16="","",RANK(AA16,$AA$4:$AA$33,0))</f>
        <v/>
      </c>
    </row>
    <row r="17" ht="14.25" customHeight="1">
      <c r="A17" s="7" t="n">
        <v>14</v>
      </c>
      <c r="B17" s="8" t="n"/>
      <c r="C17" s="8" t="n"/>
      <c r="D17" s="9">
        <f>IF(C17="","",IFERROR(VLOOKUP(C17,Datasets!$A$2:$D$6,2,FALSE()),""))</f>
        <v/>
      </c>
      <c r="E17" s="9">
        <f>IF(C17="","",IFERROR(VLOOKUP(C17,Datasets!$A$2:$D$6,3,FALSE()),""))</f>
        <v/>
      </c>
      <c r="F17" s="8" t="n"/>
      <c r="G17" s="9">
        <f>IF(C17="","",MIN(100,IF(TRIM(F17)="",0,LEN(F17)-LEN(SUBSTITUTE(F17,",",""))+1)/Rules!$B$9*100))</f>
        <v/>
      </c>
      <c r="H17" s="8" t="n"/>
      <c r="I17" s="9">
        <f>IF(C17="","",IFERROR(VLOOKUP(C17,Datasets!$A$2:$D$6,4,FALSE()),""))</f>
        <v/>
      </c>
      <c r="J17" s="8" t="n"/>
      <c r="K17" s="9">
        <f>IF(C17="","",MIN(100,IF(TRIM(J17)="",0,LEN(J17)-LEN(SUBSTITUTE(J17,",",""))+1)/Rules!$B$10*100))</f>
        <v/>
      </c>
      <c r="L17" s="8" t="n"/>
      <c r="M17" s="8" t="n"/>
      <c r="N17" s="8" t="n"/>
      <c r="O17" s="9">
        <f>IF(C17="","",9)</f>
        <v/>
      </c>
      <c r="P17" s="8" t="n"/>
      <c r="Q17" s="9">
        <f>IF(OR(C17="",P17=""),"",P17/O17*100)</f>
        <v/>
      </c>
      <c r="R17" s="9">
        <f>IF(C17="","",4)</f>
        <v/>
      </c>
      <c r="S17" s="8" t="n"/>
      <c r="T17" s="9">
        <f>IF(OR(C17="",S17=""),"",S17/R17*100)</f>
        <v/>
      </c>
      <c r="U17" s="8" t="n"/>
      <c r="V17" s="9">
        <f>IF(OR(G17="",K17="",Q17="",T17=""),"",ROUND(AVERAGE(G17,K17,Q17,T17),0))</f>
        <v/>
      </c>
      <c r="W17" s="9">
        <f>IF(COUNT(H17,L17,M17,N17,U17)&lt;5,"",ROUND((H17+L17+M17+N17+U17)/50*100,0))</f>
        <v/>
      </c>
      <c r="X17" s="9">
        <f>IF(OR(G17="",K17="",H17="",L17=""),"",ROUND(AVERAGE(G17,K17,H17*10,L17*10),1))</f>
        <v/>
      </c>
      <c r="Y17" s="9">
        <f>IF(COUNT(M17,N17)&lt;2,"",ROUND((M17+N17)/20*100,1))</f>
        <v/>
      </c>
      <c r="Z17" s="9">
        <f>IF(OR(Q17="",T17=""),"",ROUND(IF(Rules!$B$8=1,Q17*(0.5+0.5*T17/100),Q17),1))</f>
        <v/>
      </c>
      <c r="AA17" s="11">
        <f>IF(OR(Z17="",T17="",X17="",Y17="",U17=""),"",ROUND((Rules!$B$3*Z17+Rules!$B$4*T17+Rules!$B$5*X17+Rules!$B$6*Y17+Rules!$B$7*U17*10)/100,1))</f>
        <v/>
      </c>
      <c r="AB17" s="9">
        <f>IF(AA17="","",RANK(AA17,$AA$4:$AA$33,0))</f>
        <v/>
      </c>
    </row>
    <row r="18" ht="14.25" customHeight="1">
      <c r="A18" s="7" t="n">
        <v>15</v>
      </c>
      <c r="B18" s="8" t="n"/>
      <c r="C18" s="8" t="n"/>
      <c r="D18" s="9">
        <f>IF(C18="","",IFERROR(VLOOKUP(C18,Datasets!$A$2:$D$6,2,FALSE()),""))</f>
        <v/>
      </c>
      <c r="E18" s="9">
        <f>IF(C18="","",IFERROR(VLOOKUP(C18,Datasets!$A$2:$D$6,3,FALSE()),""))</f>
        <v/>
      </c>
      <c r="F18" s="8" t="n"/>
      <c r="G18" s="9">
        <f>IF(C18="","",MIN(100,IF(TRIM(F18)="",0,LEN(F18)-LEN(SUBSTITUTE(F18,",",""))+1)/Rules!$B$9*100))</f>
        <v/>
      </c>
      <c r="H18" s="8" t="n"/>
      <c r="I18" s="9">
        <f>IF(C18="","",IFERROR(VLOOKUP(C18,Datasets!$A$2:$D$6,4,FALSE()),""))</f>
        <v/>
      </c>
      <c r="J18" s="8" t="n"/>
      <c r="K18" s="9">
        <f>IF(C18="","",MIN(100,IF(TRIM(J18)="",0,LEN(J18)-LEN(SUBSTITUTE(J18,",",""))+1)/Rules!$B$10*100))</f>
        <v/>
      </c>
      <c r="L18" s="8" t="n"/>
      <c r="M18" s="8" t="n"/>
      <c r="N18" s="8" t="n"/>
      <c r="O18" s="9">
        <f>IF(C18="","",9)</f>
        <v/>
      </c>
      <c r="P18" s="8" t="n"/>
      <c r="Q18" s="9">
        <f>IF(OR(C18="",P18=""),"",P18/O18*100)</f>
        <v/>
      </c>
      <c r="R18" s="9">
        <f>IF(C18="","",4)</f>
        <v/>
      </c>
      <c r="S18" s="8" t="n"/>
      <c r="T18" s="9">
        <f>IF(OR(C18="",S18=""),"",S18/R18*100)</f>
        <v/>
      </c>
      <c r="U18" s="8" t="n"/>
      <c r="V18" s="9">
        <f>IF(OR(G18="",K18="",Q18="",T18=""),"",ROUND(AVERAGE(G18,K18,Q18,T18),0))</f>
        <v/>
      </c>
      <c r="W18" s="9">
        <f>IF(COUNT(H18,L18,M18,N18,U18)&lt;5,"",ROUND((H18+L18+M18+N18+U18)/50*100,0))</f>
        <v/>
      </c>
      <c r="X18" s="9">
        <f>IF(OR(G18="",K18="",H18="",L18=""),"",ROUND(AVERAGE(G18,K18,H18*10,L18*10),1))</f>
        <v/>
      </c>
      <c r="Y18" s="9">
        <f>IF(COUNT(M18,N18)&lt;2,"",ROUND((M18+N18)/20*100,1))</f>
        <v/>
      </c>
      <c r="Z18" s="9">
        <f>IF(OR(Q18="",T18=""),"",ROUND(IF(Rules!$B$8=1,Q18*(0.5+0.5*T18/100),Q18),1))</f>
        <v/>
      </c>
      <c r="AA18" s="11">
        <f>IF(OR(Z18="",T18="",X18="",Y18="",U18=""),"",ROUND((Rules!$B$3*Z18+Rules!$B$4*T18+Rules!$B$5*X18+Rules!$B$6*Y18+Rules!$B$7*U18*10)/100,1))</f>
        <v/>
      </c>
      <c r="AB18" s="9">
        <f>IF(AA18="","",RANK(AA18,$AA$4:$AA$33,0))</f>
        <v/>
      </c>
    </row>
    <row r="19" ht="14.25" customHeight="1">
      <c r="A19" s="7" t="n">
        <v>16</v>
      </c>
      <c r="B19" s="8" t="n"/>
      <c r="C19" s="8" t="n"/>
      <c r="D19" s="9">
        <f>IF(C19="","",IFERROR(VLOOKUP(C19,Datasets!$A$2:$D$6,2,FALSE()),""))</f>
        <v/>
      </c>
      <c r="E19" s="9">
        <f>IF(C19="","",IFERROR(VLOOKUP(C19,Datasets!$A$2:$D$6,3,FALSE()),""))</f>
        <v/>
      </c>
      <c r="F19" s="8" t="n"/>
      <c r="G19" s="9">
        <f>IF(C19="","",MIN(100,IF(TRIM(F19)="",0,LEN(F19)-LEN(SUBSTITUTE(F19,",",""))+1)/Rules!$B$9*100))</f>
        <v/>
      </c>
      <c r="H19" s="8" t="n"/>
      <c r="I19" s="9">
        <f>IF(C19="","",IFERROR(VLOOKUP(C19,Datasets!$A$2:$D$6,4,FALSE()),""))</f>
        <v/>
      </c>
      <c r="J19" s="8" t="n"/>
      <c r="K19" s="9">
        <f>IF(C19="","",MIN(100,IF(TRIM(J19)="",0,LEN(J19)-LEN(SUBSTITUTE(J19,",",""))+1)/Rules!$B$10*100))</f>
        <v/>
      </c>
      <c r="L19" s="8" t="n"/>
      <c r="M19" s="8" t="n"/>
      <c r="N19" s="8" t="n"/>
      <c r="O19" s="9">
        <f>IF(C19="","",9)</f>
        <v/>
      </c>
      <c r="P19" s="8" t="n"/>
      <c r="Q19" s="9">
        <f>IF(OR(C19="",P19=""),"",P19/O19*100)</f>
        <v/>
      </c>
      <c r="R19" s="9">
        <f>IF(C19="","",4)</f>
        <v/>
      </c>
      <c r="S19" s="8" t="n"/>
      <c r="T19" s="9">
        <f>IF(OR(C19="",S19=""),"",S19/R19*100)</f>
        <v/>
      </c>
      <c r="U19" s="8" t="n"/>
      <c r="V19" s="9">
        <f>IF(OR(G19="",K19="",Q19="",T19=""),"",ROUND(AVERAGE(G19,K19,Q19,T19),0))</f>
        <v/>
      </c>
      <c r="W19" s="9">
        <f>IF(COUNT(H19,L19,M19,N19,U19)&lt;5,"",ROUND((H19+L19+M19+N19+U19)/50*100,0))</f>
        <v/>
      </c>
      <c r="X19" s="9">
        <f>IF(OR(G19="",K19="",H19="",L19=""),"",ROUND(AVERAGE(G19,K19,H19*10,L19*10),1))</f>
        <v/>
      </c>
      <c r="Y19" s="9">
        <f>IF(COUNT(M19,N19)&lt;2,"",ROUND((M19+N19)/20*100,1))</f>
        <v/>
      </c>
      <c r="Z19" s="9">
        <f>IF(OR(Q19="",T19=""),"",ROUND(IF(Rules!$B$8=1,Q19*(0.5+0.5*T19/100),Q19),1))</f>
        <v/>
      </c>
      <c r="AA19" s="11">
        <f>IF(OR(Z19="",T19="",X19="",Y19="",U19=""),"",ROUND((Rules!$B$3*Z19+Rules!$B$4*T19+Rules!$B$5*X19+Rules!$B$6*Y19+Rules!$B$7*U19*10)/100,1))</f>
        <v/>
      </c>
      <c r="AB19" s="9">
        <f>IF(AA19="","",RANK(AA19,$AA$4:$AA$33,0))</f>
        <v/>
      </c>
    </row>
    <row r="20" ht="14.25" customHeight="1">
      <c r="A20" s="7" t="n">
        <v>17</v>
      </c>
      <c r="B20" s="8" t="n"/>
      <c r="C20" s="8" t="n"/>
      <c r="D20" s="9">
        <f>IF(C20="","",IFERROR(VLOOKUP(C20,Datasets!$A$2:$D$6,2,FALSE()),""))</f>
        <v/>
      </c>
      <c r="E20" s="9">
        <f>IF(C20="","",IFERROR(VLOOKUP(C20,Datasets!$A$2:$D$6,3,FALSE()),""))</f>
        <v/>
      </c>
      <c r="F20" s="8" t="n"/>
      <c r="G20" s="9">
        <f>IF(C20="","",MIN(100,IF(TRIM(F20)="",0,LEN(F20)-LEN(SUBSTITUTE(F20,",",""))+1)/Rules!$B$9*100))</f>
        <v/>
      </c>
      <c r="H20" s="8" t="n"/>
      <c r="I20" s="9">
        <f>IF(C20="","",IFERROR(VLOOKUP(C20,Datasets!$A$2:$D$6,4,FALSE()),""))</f>
        <v/>
      </c>
      <c r="J20" s="8" t="n"/>
      <c r="K20" s="9">
        <f>IF(C20="","",MIN(100,IF(TRIM(J20)="",0,LEN(J20)-LEN(SUBSTITUTE(J20,",",""))+1)/Rules!$B$10*100))</f>
        <v/>
      </c>
      <c r="L20" s="8" t="n"/>
      <c r="M20" s="8" t="n"/>
      <c r="N20" s="8" t="n"/>
      <c r="O20" s="9">
        <f>IF(C20="","",9)</f>
        <v/>
      </c>
      <c r="P20" s="8" t="n"/>
      <c r="Q20" s="9">
        <f>IF(OR(C20="",P20=""),"",P20/O20*100)</f>
        <v/>
      </c>
      <c r="R20" s="9">
        <f>IF(C20="","",4)</f>
        <v/>
      </c>
      <c r="S20" s="8" t="n"/>
      <c r="T20" s="9">
        <f>IF(OR(C20="",S20=""),"",S20/R20*100)</f>
        <v/>
      </c>
      <c r="U20" s="8" t="n"/>
      <c r="V20" s="9">
        <f>IF(OR(G20="",K20="",Q20="",T20=""),"",ROUND(AVERAGE(G20,K20,Q20,T20),0))</f>
        <v/>
      </c>
      <c r="W20" s="9">
        <f>IF(COUNT(H20,L20,M20,N20,U20)&lt;5,"",ROUND((H20+L20+M20+N20+U20)/50*100,0))</f>
        <v/>
      </c>
      <c r="X20" s="9">
        <f>IF(OR(G20="",K20="",H20="",L20=""),"",ROUND(AVERAGE(G20,K20,H20*10,L20*10),1))</f>
        <v/>
      </c>
      <c r="Y20" s="9">
        <f>IF(COUNT(M20,N20)&lt;2,"",ROUND((M20+N20)/20*100,1))</f>
        <v/>
      </c>
      <c r="Z20" s="9">
        <f>IF(OR(Q20="",T20=""),"",ROUND(IF(Rules!$B$8=1,Q20*(0.5+0.5*T20/100),Q20),1))</f>
        <v/>
      </c>
      <c r="AA20" s="11">
        <f>IF(OR(Z20="",T20="",X20="",Y20="",U20=""),"",ROUND((Rules!$B$3*Z20+Rules!$B$4*T20+Rules!$B$5*X20+Rules!$B$6*Y20+Rules!$B$7*U20*10)/100,1))</f>
        <v/>
      </c>
      <c r="AB20" s="9">
        <f>IF(AA20="","",RANK(AA20,$AA$4:$AA$33,0))</f>
        <v/>
      </c>
    </row>
    <row r="21" ht="14.25" customHeight="1">
      <c r="A21" s="7" t="n">
        <v>18</v>
      </c>
      <c r="B21" s="8" t="n"/>
      <c r="C21" s="8" t="n"/>
      <c r="D21" s="9">
        <f>IF(C21="","",IFERROR(VLOOKUP(C21,Datasets!$A$2:$D$6,2,FALSE()),""))</f>
        <v/>
      </c>
      <c r="E21" s="9">
        <f>IF(C21="","",IFERROR(VLOOKUP(C21,Datasets!$A$2:$D$6,3,FALSE()),""))</f>
        <v/>
      </c>
      <c r="F21" s="8" t="n"/>
      <c r="G21" s="9">
        <f>IF(C21="","",MIN(100,IF(TRIM(F21)="",0,LEN(F21)-LEN(SUBSTITUTE(F21,",",""))+1)/Rules!$B$9*100))</f>
        <v/>
      </c>
      <c r="H21" s="8" t="n"/>
      <c r="I21" s="9">
        <f>IF(C21="","",IFERROR(VLOOKUP(C21,Datasets!$A$2:$D$6,4,FALSE()),""))</f>
        <v/>
      </c>
      <c r="J21" s="8" t="n"/>
      <c r="K21" s="9">
        <f>IF(C21="","",MIN(100,IF(TRIM(J21)="",0,LEN(J21)-LEN(SUBSTITUTE(J21,",",""))+1)/Rules!$B$10*100))</f>
        <v/>
      </c>
      <c r="L21" s="8" t="n"/>
      <c r="M21" s="8" t="n"/>
      <c r="N21" s="8" t="n"/>
      <c r="O21" s="9">
        <f>IF(C21="","",9)</f>
        <v/>
      </c>
      <c r="P21" s="8" t="n"/>
      <c r="Q21" s="9">
        <f>IF(OR(C21="",P21=""),"",P21/O21*100)</f>
        <v/>
      </c>
      <c r="R21" s="9">
        <f>IF(C21="","",4)</f>
        <v/>
      </c>
      <c r="S21" s="8" t="n"/>
      <c r="T21" s="9">
        <f>IF(OR(C21="",S21=""),"",S21/R21*100)</f>
        <v/>
      </c>
      <c r="U21" s="8" t="n"/>
      <c r="V21" s="9">
        <f>IF(OR(G21="",K21="",Q21="",T21=""),"",ROUND(AVERAGE(G21,K21,Q21,T21),0))</f>
        <v/>
      </c>
      <c r="W21" s="9">
        <f>IF(COUNT(H21,L21,M21,N21,U21)&lt;5,"",ROUND((H21+L21+M21+N21+U21)/50*100,0))</f>
        <v/>
      </c>
      <c r="X21" s="9">
        <f>IF(OR(G21="",K21="",H21="",L21=""),"",ROUND(AVERAGE(G21,K21,H21*10,L21*10),1))</f>
        <v/>
      </c>
      <c r="Y21" s="9">
        <f>IF(COUNT(M21,N21)&lt;2,"",ROUND((M21+N21)/20*100,1))</f>
        <v/>
      </c>
      <c r="Z21" s="9">
        <f>IF(OR(Q21="",T21=""),"",ROUND(IF(Rules!$B$8=1,Q21*(0.5+0.5*T21/100),Q21),1))</f>
        <v/>
      </c>
      <c r="AA21" s="11">
        <f>IF(OR(Z21="",T21="",X21="",Y21="",U21=""),"",ROUND((Rules!$B$3*Z21+Rules!$B$4*T21+Rules!$B$5*X21+Rules!$B$6*Y21+Rules!$B$7*U21*10)/100,1))</f>
        <v/>
      </c>
      <c r="AB21" s="9">
        <f>IF(AA21="","",RANK(AA21,$AA$4:$AA$33,0))</f>
        <v/>
      </c>
    </row>
    <row r="22" ht="14.25" customHeight="1">
      <c r="A22" s="7" t="n">
        <v>19</v>
      </c>
      <c r="B22" s="8" t="n"/>
      <c r="C22" s="8" t="n"/>
      <c r="D22" s="9">
        <f>IF(C22="","",IFERROR(VLOOKUP(C22,Datasets!$A$2:$D$6,2,FALSE()),""))</f>
        <v/>
      </c>
      <c r="E22" s="9">
        <f>IF(C22="","",IFERROR(VLOOKUP(C22,Datasets!$A$2:$D$6,3,FALSE()),""))</f>
        <v/>
      </c>
      <c r="F22" s="8" t="n"/>
      <c r="G22" s="9">
        <f>IF(C22="","",MIN(100,IF(TRIM(F22)="",0,LEN(F22)-LEN(SUBSTITUTE(F22,",",""))+1)/Rules!$B$9*100))</f>
        <v/>
      </c>
      <c r="H22" s="8" t="n"/>
      <c r="I22" s="9">
        <f>IF(C22="","",IFERROR(VLOOKUP(C22,Datasets!$A$2:$D$6,4,FALSE()),""))</f>
        <v/>
      </c>
      <c r="J22" s="8" t="n"/>
      <c r="K22" s="9">
        <f>IF(C22="","",MIN(100,IF(TRIM(J22)="",0,LEN(J22)-LEN(SUBSTITUTE(J22,",",""))+1)/Rules!$B$10*100))</f>
        <v/>
      </c>
      <c r="L22" s="8" t="n"/>
      <c r="M22" s="8" t="n"/>
      <c r="N22" s="8" t="n"/>
      <c r="O22" s="9">
        <f>IF(C22="","",9)</f>
        <v/>
      </c>
      <c r="P22" s="8" t="n"/>
      <c r="Q22" s="9">
        <f>IF(OR(C22="",P22=""),"",P22/O22*100)</f>
        <v/>
      </c>
      <c r="R22" s="9">
        <f>IF(C22="","",4)</f>
        <v/>
      </c>
      <c r="S22" s="8" t="n"/>
      <c r="T22" s="9">
        <f>IF(OR(C22="",S22=""),"",S22/R22*100)</f>
        <v/>
      </c>
      <c r="U22" s="8" t="n"/>
      <c r="V22" s="9">
        <f>IF(OR(G22="",K22="",Q22="",T22=""),"",ROUND(AVERAGE(G22,K22,Q22,T22),0))</f>
        <v/>
      </c>
      <c r="W22" s="9">
        <f>IF(COUNT(H22,L22,M22,N22,U22)&lt;5,"",ROUND((H22+L22+M22+N22+U22)/50*100,0))</f>
        <v/>
      </c>
      <c r="X22" s="9">
        <f>IF(OR(G22="",K22="",H22="",L22=""),"",ROUND(AVERAGE(G22,K22,H22*10,L22*10),1))</f>
        <v/>
      </c>
      <c r="Y22" s="9">
        <f>IF(COUNT(M22,N22)&lt;2,"",ROUND((M22+N22)/20*100,1))</f>
        <v/>
      </c>
      <c r="Z22" s="9">
        <f>IF(OR(Q22="",T22=""),"",ROUND(IF(Rules!$B$8=1,Q22*(0.5+0.5*T22/100),Q22),1))</f>
        <v/>
      </c>
      <c r="AA22" s="11">
        <f>IF(OR(Z22="",T22="",X22="",Y22="",U22=""),"",ROUND((Rules!$B$3*Z22+Rules!$B$4*T22+Rules!$B$5*X22+Rules!$B$6*Y22+Rules!$B$7*U22*10)/100,1))</f>
        <v/>
      </c>
      <c r="AB22" s="9">
        <f>IF(AA22="","",RANK(AA22,$AA$4:$AA$33,0))</f>
        <v/>
      </c>
    </row>
    <row r="23" ht="14.25" customHeight="1">
      <c r="A23" s="7" t="n">
        <v>20</v>
      </c>
      <c r="B23" s="8" t="n"/>
      <c r="C23" s="8" t="n"/>
      <c r="D23" s="9">
        <f>IF(C23="","",IFERROR(VLOOKUP(C23,Datasets!$A$2:$D$6,2,FALSE()),""))</f>
        <v/>
      </c>
      <c r="E23" s="9">
        <f>IF(C23="","",IFERROR(VLOOKUP(C23,Datasets!$A$2:$D$6,3,FALSE()),""))</f>
        <v/>
      </c>
      <c r="F23" s="8" t="n"/>
      <c r="G23" s="9">
        <f>IF(C23="","",MIN(100,IF(TRIM(F23)="",0,LEN(F23)-LEN(SUBSTITUTE(F23,",",""))+1)/Rules!$B$9*100))</f>
        <v/>
      </c>
      <c r="H23" s="8" t="n"/>
      <c r="I23" s="9">
        <f>IF(C23="","",IFERROR(VLOOKUP(C23,Datasets!$A$2:$D$6,4,FALSE()),""))</f>
        <v/>
      </c>
      <c r="J23" s="8" t="n"/>
      <c r="K23" s="9">
        <f>IF(C23="","",MIN(100,IF(TRIM(J23)="",0,LEN(J23)-LEN(SUBSTITUTE(J23,",",""))+1)/Rules!$B$10*100))</f>
        <v/>
      </c>
      <c r="L23" s="8" t="n"/>
      <c r="M23" s="8" t="n"/>
      <c r="N23" s="8" t="n"/>
      <c r="O23" s="9">
        <f>IF(C23="","",9)</f>
        <v/>
      </c>
      <c r="P23" s="8" t="n"/>
      <c r="Q23" s="9">
        <f>IF(OR(C23="",P23=""),"",P23/O23*100)</f>
        <v/>
      </c>
      <c r="R23" s="9">
        <f>IF(C23="","",4)</f>
        <v/>
      </c>
      <c r="S23" s="8" t="n"/>
      <c r="T23" s="9">
        <f>IF(OR(C23="",S23=""),"",S23/R23*100)</f>
        <v/>
      </c>
      <c r="U23" s="8" t="n"/>
      <c r="V23" s="9">
        <f>IF(OR(G23="",K23="",Q23="",T23=""),"",ROUND(AVERAGE(G23,K23,Q23,T23),0))</f>
        <v/>
      </c>
      <c r="W23" s="9">
        <f>IF(COUNT(H23,L23,M23,N23,U23)&lt;5,"",ROUND((H23+L23+M23+N23+U23)/50*100,0))</f>
        <v/>
      </c>
      <c r="X23" s="9">
        <f>IF(OR(G23="",K23="",H23="",L23=""),"",ROUND(AVERAGE(G23,K23,H23*10,L23*10),1))</f>
        <v/>
      </c>
      <c r="Y23" s="9">
        <f>IF(COUNT(M23,N23)&lt;2,"",ROUND((M23+N23)/20*100,1))</f>
        <v/>
      </c>
      <c r="Z23" s="9">
        <f>IF(OR(Q23="",T23=""),"",ROUND(IF(Rules!$B$8=1,Q23*(0.5+0.5*T23/100),Q23),1))</f>
        <v/>
      </c>
      <c r="AA23" s="11">
        <f>IF(OR(Z23="",T23="",X23="",Y23="",U23=""),"",ROUND((Rules!$B$3*Z23+Rules!$B$4*T23+Rules!$B$5*X23+Rules!$B$6*Y23+Rules!$B$7*U23*10)/100,1))</f>
        <v/>
      </c>
      <c r="AB23" s="9">
        <f>IF(AA23="","",RANK(AA23,$AA$4:$AA$33,0))</f>
        <v/>
      </c>
    </row>
    <row r="24" ht="14.25" customHeight="1">
      <c r="A24" s="7" t="n">
        <v>21</v>
      </c>
      <c r="B24" s="8" t="n"/>
      <c r="C24" s="8" t="n"/>
      <c r="D24" s="9">
        <f>IF(C24="","",IFERROR(VLOOKUP(C24,Datasets!$A$2:$D$6,2,FALSE()),""))</f>
        <v/>
      </c>
      <c r="E24" s="9">
        <f>IF(C24="","",IFERROR(VLOOKUP(C24,Datasets!$A$2:$D$6,3,FALSE()),""))</f>
        <v/>
      </c>
      <c r="F24" s="8" t="n"/>
      <c r="G24" s="9">
        <f>IF(C24="","",MIN(100,IF(TRIM(F24)="",0,LEN(F24)-LEN(SUBSTITUTE(F24,",",""))+1)/Rules!$B$9*100))</f>
        <v/>
      </c>
      <c r="H24" s="8" t="n"/>
      <c r="I24" s="9">
        <f>IF(C24="","",IFERROR(VLOOKUP(C24,Datasets!$A$2:$D$6,4,FALSE()),""))</f>
        <v/>
      </c>
      <c r="J24" s="8" t="n"/>
      <c r="K24" s="9">
        <f>IF(C24="","",MIN(100,IF(TRIM(J24)="",0,LEN(J24)-LEN(SUBSTITUTE(J24,",",""))+1)/Rules!$B$10*100))</f>
        <v/>
      </c>
      <c r="L24" s="8" t="n"/>
      <c r="M24" s="8" t="n"/>
      <c r="N24" s="8" t="n"/>
      <c r="O24" s="9">
        <f>IF(C24="","",9)</f>
        <v/>
      </c>
      <c r="P24" s="8" t="n"/>
      <c r="Q24" s="9">
        <f>IF(OR(C24="",P24=""),"",P24/O24*100)</f>
        <v/>
      </c>
      <c r="R24" s="9">
        <f>IF(C24="","",4)</f>
        <v/>
      </c>
      <c r="S24" s="8" t="n"/>
      <c r="T24" s="9">
        <f>IF(OR(C24="",S24=""),"",S24/R24*100)</f>
        <v/>
      </c>
      <c r="U24" s="8" t="n"/>
      <c r="V24" s="9">
        <f>IF(OR(G24="",K24="",Q24="",T24=""),"",ROUND(AVERAGE(G24,K24,Q24,T24),0))</f>
        <v/>
      </c>
      <c r="W24" s="9">
        <f>IF(COUNT(H24,L24,M24,N24,U24)&lt;5,"",ROUND((H24+L24+M24+N24+U24)/50*100,0))</f>
        <v/>
      </c>
      <c r="X24" s="9">
        <f>IF(OR(G24="",K24="",H24="",L24=""),"",ROUND(AVERAGE(G24,K24,H24*10,L24*10),1))</f>
        <v/>
      </c>
      <c r="Y24" s="9">
        <f>IF(COUNT(M24,N24)&lt;2,"",ROUND((M24+N24)/20*100,1))</f>
        <v/>
      </c>
      <c r="Z24" s="9">
        <f>IF(OR(Q24="",T24=""),"",ROUND(IF(Rules!$B$8=1,Q24*(0.5+0.5*T24/100),Q24),1))</f>
        <v/>
      </c>
      <c r="AA24" s="11">
        <f>IF(OR(Z24="",T24="",X24="",Y24="",U24=""),"",ROUND((Rules!$B$3*Z24+Rules!$B$4*T24+Rules!$B$5*X24+Rules!$B$6*Y24+Rules!$B$7*U24*10)/100,1))</f>
        <v/>
      </c>
      <c r="AB24" s="9">
        <f>IF(AA24="","",RANK(AA24,$AA$4:$AA$33,0))</f>
        <v/>
      </c>
    </row>
    <row r="25" ht="14.25" customHeight="1">
      <c r="A25" s="7" t="n">
        <v>22</v>
      </c>
      <c r="B25" s="8" t="n"/>
      <c r="C25" s="8" t="n"/>
      <c r="D25" s="9">
        <f>IF(C25="","",IFERROR(VLOOKUP(C25,Datasets!$A$2:$D$6,2,FALSE()),""))</f>
        <v/>
      </c>
      <c r="E25" s="9">
        <f>IF(C25="","",IFERROR(VLOOKUP(C25,Datasets!$A$2:$D$6,3,FALSE()),""))</f>
        <v/>
      </c>
      <c r="F25" s="8" t="n"/>
      <c r="G25" s="9">
        <f>IF(C25="","",MIN(100,IF(TRIM(F25)="",0,LEN(F25)-LEN(SUBSTITUTE(F25,",",""))+1)/Rules!$B$9*100))</f>
        <v/>
      </c>
      <c r="H25" s="8" t="n"/>
      <c r="I25" s="9">
        <f>IF(C25="","",IFERROR(VLOOKUP(C25,Datasets!$A$2:$D$6,4,FALSE()),""))</f>
        <v/>
      </c>
      <c r="J25" s="8" t="n"/>
      <c r="K25" s="9">
        <f>IF(C25="","",MIN(100,IF(TRIM(J25)="",0,LEN(J25)-LEN(SUBSTITUTE(J25,",",""))+1)/Rules!$B$10*100))</f>
        <v/>
      </c>
      <c r="L25" s="8" t="n"/>
      <c r="M25" s="8" t="n"/>
      <c r="N25" s="8" t="n"/>
      <c r="O25" s="9">
        <f>IF(C25="","",9)</f>
        <v/>
      </c>
      <c r="P25" s="8" t="n"/>
      <c r="Q25" s="9">
        <f>IF(OR(C25="",P25=""),"",P25/O25*100)</f>
        <v/>
      </c>
      <c r="R25" s="9">
        <f>IF(C25="","",4)</f>
        <v/>
      </c>
      <c r="S25" s="8" t="n"/>
      <c r="T25" s="9">
        <f>IF(OR(C25="",S25=""),"",S25/R25*100)</f>
        <v/>
      </c>
      <c r="U25" s="8" t="n"/>
      <c r="V25" s="9">
        <f>IF(OR(G25="",K25="",Q25="",T25=""),"",ROUND(AVERAGE(G25,K25,Q25,T25),0))</f>
        <v/>
      </c>
      <c r="W25" s="9">
        <f>IF(COUNT(H25,L25,M25,N25,U25)&lt;5,"",ROUND((H25+L25+M25+N25+U25)/50*100,0))</f>
        <v/>
      </c>
      <c r="X25" s="9">
        <f>IF(OR(G25="",K25="",H25="",L25=""),"",ROUND(AVERAGE(G25,K25,H25*10,L25*10),1))</f>
        <v/>
      </c>
      <c r="Y25" s="9">
        <f>IF(COUNT(M25,N25)&lt;2,"",ROUND((M25+N25)/20*100,1))</f>
        <v/>
      </c>
      <c r="Z25" s="9">
        <f>IF(OR(Q25="",T25=""),"",ROUND(IF(Rules!$B$8=1,Q25*(0.5+0.5*T25/100),Q25),1))</f>
        <v/>
      </c>
      <c r="AA25" s="11">
        <f>IF(OR(Z25="",T25="",X25="",Y25="",U25=""),"",ROUND((Rules!$B$3*Z25+Rules!$B$4*T25+Rules!$B$5*X25+Rules!$B$6*Y25+Rules!$B$7*U25*10)/100,1))</f>
        <v/>
      </c>
      <c r="AB25" s="9">
        <f>IF(AA25="","",RANK(AA25,$AA$4:$AA$33,0))</f>
        <v/>
      </c>
    </row>
    <row r="26" ht="14.25" customHeight="1">
      <c r="A26" s="7" t="n">
        <v>23</v>
      </c>
      <c r="B26" s="8" t="n"/>
      <c r="C26" s="8" t="n"/>
      <c r="D26" s="9">
        <f>IF(C26="","",IFERROR(VLOOKUP(C26,Datasets!$A$2:$D$6,2,FALSE()),""))</f>
        <v/>
      </c>
      <c r="E26" s="9">
        <f>IF(C26="","",IFERROR(VLOOKUP(C26,Datasets!$A$2:$D$6,3,FALSE()),""))</f>
        <v/>
      </c>
      <c r="F26" s="8" t="n"/>
      <c r="G26" s="9">
        <f>IF(C26="","",MIN(100,IF(TRIM(F26)="",0,LEN(F26)-LEN(SUBSTITUTE(F26,",",""))+1)/Rules!$B$9*100))</f>
        <v/>
      </c>
      <c r="H26" s="8" t="n"/>
      <c r="I26" s="9">
        <f>IF(C26="","",IFERROR(VLOOKUP(C26,Datasets!$A$2:$D$6,4,FALSE()),""))</f>
        <v/>
      </c>
      <c r="J26" s="8" t="n"/>
      <c r="K26" s="9">
        <f>IF(C26="","",MIN(100,IF(TRIM(J26)="",0,LEN(J26)-LEN(SUBSTITUTE(J26,",",""))+1)/Rules!$B$10*100))</f>
        <v/>
      </c>
      <c r="L26" s="8" t="n"/>
      <c r="M26" s="8" t="n"/>
      <c r="N26" s="8" t="n"/>
      <c r="O26" s="9">
        <f>IF(C26="","",9)</f>
        <v/>
      </c>
      <c r="P26" s="8" t="n"/>
      <c r="Q26" s="9">
        <f>IF(OR(C26="",P26=""),"",P26/O26*100)</f>
        <v/>
      </c>
      <c r="R26" s="9">
        <f>IF(C26="","",4)</f>
        <v/>
      </c>
      <c r="S26" s="8" t="n"/>
      <c r="T26" s="9">
        <f>IF(OR(C26="",S26=""),"",S26/R26*100)</f>
        <v/>
      </c>
      <c r="U26" s="8" t="n"/>
      <c r="V26" s="9">
        <f>IF(OR(G26="",K26="",Q26="",T26=""),"",ROUND(AVERAGE(G26,K26,Q26,T26),0))</f>
        <v/>
      </c>
      <c r="W26" s="9">
        <f>IF(COUNT(H26,L26,M26,N26,U26)&lt;5,"",ROUND((H26+L26+M26+N26+U26)/50*100,0))</f>
        <v/>
      </c>
      <c r="X26" s="9">
        <f>IF(OR(G26="",K26="",H26="",L26=""),"",ROUND(AVERAGE(G26,K26,H26*10,L26*10),1))</f>
        <v/>
      </c>
      <c r="Y26" s="9">
        <f>IF(COUNT(M26,N26)&lt;2,"",ROUND((M26+N26)/20*100,1))</f>
        <v/>
      </c>
      <c r="Z26" s="9">
        <f>IF(OR(Q26="",T26=""),"",ROUND(IF(Rules!$B$8=1,Q26*(0.5+0.5*T26/100),Q26),1))</f>
        <v/>
      </c>
      <c r="AA26" s="11">
        <f>IF(OR(Z26="",T26="",X26="",Y26="",U26=""),"",ROUND((Rules!$B$3*Z26+Rules!$B$4*T26+Rules!$B$5*X26+Rules!$B$6*Y26+Rules!$B$7*U26*10)/100,1))</f>
        <v/>
      </c>
      <c r="AB26" s="9">
        <f>IF(AA26="","",RANK(AA26,$AA$4:$AA$33,0))</f>
        <v/>
      </c>
    </row>
    <row r="27" ht="14.25" customHeight="1">
      <c r="A27" s="7" t="n">
        <v>24</v>
      </c>
      <c r="B27" s="8" t="n"/>
      <c r="C27" s="8" t="n"/>
      <c r="D27" s="9">
        <f>IF(C27="","",IFERROR(VLOOKUP(C27,Datasets!$A$2:$D$6,2,FALSE()),""))</f>
        <v/>
      </c>
      <c r="E27" s="9">
        <f>IF(C27="","",IFERROR(VLOOKUP(C27,Datasets!$A$2:$D$6,3,FALSE()),""))</f>
        <v/>
      </c>
      <c r="F27" s="8" t="n"/>
      <c r="G27" s="9">
        <f>IF(C27="","",MIN(100,IF(TRIM(F27)="",0,LEN(F27)-LEN(SUBSTITUTE(F27,",",""))+1)/Rules!$B$9*100))</f>
        <v/>
      </c>
      <c r="H27" s="8" t="n"/>
      <c r="I27" s="9">
        <f>IF(C27="","",IFERROR(VLOOKUP(C27,Datasets!$A$2:$D$6,4,FALSE()),""))</f>
        <v/>
      </c>
      <c r="J27" s="8" t="n"/>
      <c r="K27" s="9">
        <f>IF(C27="","",MIN(100,IF(TRIM(J27)="",0,LEN(J27)-LEN(SUBSTITUTE(J27,",",""))+1)/Rules!$B$10*100))</f>
        <v/>
      </c>
      <c r="L27" s="8" t="n"/>
      <c r="M27" s="8" t="n"/>
      <c r="N27" s="8" t="n"/>
      <c r="O27" s="9">
        <f>IF(C27="","",9)</f>
        <v/>
      </c>
      <c r="P27" s="8" t="n"/>
      <c r="Q27" s="9">
        <f>IF(OR(C27="",P27=""),"",P27/O27*100)</f>
        <v/>
      </c>
      <c r="R27" s="9">
        <f>IF(C27="","",4)</f>
        <v/>
      </c>
      <c r="S27" s="8" t="n"/>
      <c r="T27" s="9">
        <f>IF(OR(C27="",S27=""),"",S27/R27*100)</f>
        <v/>
      </c>
      <c r="U27" s="8" t="n"/>
      <c r="V27" s="9">
        <f>IF(OR(G27="",K27="",Q27="",T27=""),"",ROUND(AVERAGE(G27,K27,Q27,T27),0))</f>
        <v/>
      </c>
      <c r="W27" s="9">
        <f>IF(COUNT(H27,L27,M27,N27,U27)&lt;5,"",ROUND((H27+L27+M27+N27+U27)/50*100,0))</f>
        <v/>
      </c>
      <c r="X27" s="9">
        <f>IF(OR(G27="",K27="",H27="",L27=""),"",ROUND(AVERAGE(G27,K27,H27*10,L27*10),1))</f>
        <v/>
      </c>
      <c r="Y27" s="9">
        <f>IF(COUNT(M27,N27)&lt;2,"",ROUND((M27+N27)/20*100,1))</f>
        <v/>
      </c>
      <c r="Z27" s="9">
        <f>IF(OR(Q27="",T27=""),"",ROUND(IF(Rules!$B$8=1,Q27*(0.5+0.5*T27/100),Q27),1))</f>
        <v/>
      </c>
      <c r="AA27" s="11">
        <f>IF(OR(Z27="",T27="",X27="",Y27="",U27=""),"",ROUND((Rules!$B$3*Z27+Rules!$B$4*T27+Rules!$B$5*X27+Rules!$B$6*Y27+Rules!$B$7*U27*10)/100,1))</f>
        <v/>
      </c>
      <c r="AB27" s="9">
        <f>IF(AA27="","",RANK(AA27,$AA$4:$AA$33,0))</f>
        <v/>
      </c>
    </row>
    <row r="28" ht="14.25" customHeight="1">
      <c r="A28" s="7" t="n">
        <v>25</v>
      </c>
      <c r="B28" s="8" t="n"/>
      <c r="C28" s="8" t="n"/>
      <c r="D28" s="9">
        <f>IF(C28="","",IFERROR(VLOOKUP(C28,Datasets!$A$2:$D$6,2,FALSE()),""))</f>
        <v/>
      </c>
      <c r="E28" s="9">
        <f>IF(C28="","",IFERROR(VLOOKUP(C28,Datasets!$A$2:$D$6,3,FALSE()),""))</f>
        <v/>
      </c>
      <c r="F28" s="8" t="n"/>
      <c r="G28" s="9">
        <f>IF(C28="","",MIN(100,IF(TRIM(F28)="",0,LEN(F28)-LEN(SUBSTITUTE(F28,",",""))+1)/Rules!$B$9*100))</f>
        <v/>
      </c>
      <c r="H28" s="8" t="n"/>
      <c r="I28" s="9">
        <f>IF(C28="","",IFERROR(VLOOKUP(C28,Datasets!$A$2:$D$6,4,FALSE()),""))</f>
        <v/>
      </c>
      <c r="J28" s="8" t="n"/>
      <c r="K28" s="9">
        <f>IF(C28="","",MIN(100,IF(TRIM(J28)="",0,LEN(J28)-LEN(SUBSTITUTE(J28,",",""))+1)/Rules!$B$10*100))</f>
        <v/>
      </c>
      <c r="L28" s="8" t="n"/>
      <c r="M28" s="8" t="n"/>
      <c r="N28" s="8" t="n"/>
      <c r="O28" s="9">
        <f>IF(C28="","",9)</f>
        <v/>
      </c>
      <c r="P28" s="8" t="n"/>
      <c r="Q28" s="9">
        <f>IF(OR(C28="",P28=""),"",P28/O28*100)</f>
        <v/>
      </c>
      <c r="R28" s="9">
        <f>IF(C28="","",4)</f>
        <v/>
      </c>
      <c r="S28" s="8" t="n"/>
      <c r="T28" s="9">
        <f>IF(OR(C28="",S28=""),"",S28/R28*100)</f>
        <v/>
      </c>
      <c r="U28" s="8" t="n"/>
      <c r="V28" s="9">
        <f>IF(OR(G28="",K28="",Q28="",T28=""),"",ROUND(AVERAGE(G28,K28,Q28,T28),0))</f>
        <v/>
      </c>
      <c r="W28" s="9">
        <f>IF(COUNT(H28,L28,M28,N28,U28)&lt;5,"",ROUND((H28+L28+M28+N28+U28)/50*100,0))</f>
        <v/>
      </c>
      <c r="X28" s="9">
        <f>IF(OR(G28="",K28="",H28="",L28=""),"",ROUND(AVERAGE(G28,K28,H28*10,L28*10),1))</f>
        <v/>
      </c>
      <c r="Y28" s="9">
        <f>IF(COUNT(M28,N28)&lt;2,"",ROUND((M28+N28)/20*100,1))</f>
        <v/>
      </c>
      <c r="Z28" s="9">
        <f>IF(OR(Q28="",T28=""),"",ROUND(IF(Rules!$B$8=1,Q28*(0.5+0.5*T28/100),Q28),1))</f>
        <v/>
      </c>
      <c r="AA28" s="11">
        <f>IF(OR(Z28="",T28="",X28="",Y28="",U28=""),"",ROUND((Rules!$B$3*Z28+Rules!$B$4*T28+Rules!$B$5*X28+Rules!$B$6*Y28+Rules!$B$7*U28*10)/100,1))</f>
        <v/>
      </c>
      <c r="AB28" s="9">
        <f>IF(AA28="","",RANK(AA28,$AA$4:$AA$33,0))</f>
        <v/>
      </c>
    </row>
    <row r="29" ht="14.25" customHeight="1">
      <c r="A29" s="7" t="n">
        <v>26</v>
      </c>
      <c r="B29" s="8" t="n"/>
      <c r="C29" s="8" t="n"/>
      <c r="D29" s="9">
        <f>IF(C29="","",IFERROR(VLOOKUP(C29,Datasets!$A$2:$D$6,2,FALSE()),""))</f>
        <v/>
      </c>
      <c r="E29" s="9">
        <f>IF(C29="","",IFERROR(VLOOKUP(C29,Datasets!$A$2:$D$6,3,FALSE()),""))</f>
        <v/>
      </c>
      <c r="F29" s="8" t="n"/>
      <c r="G29" s="9">
        <f>IF(C29="","",MIN(100,IF(TRIM(F29)="",0,LEN(F29)-LEN(SUBSTITUTE(F29,",",""))+1)/Rules!$B$9*100))</f>
        <v/>
      </c>
      <c r="H29" s="8" t="n"/>
      <c r="I29" s="9">
        <f>IF(C29="","",IFERROR(VLOOKUP(C29,Datasets!$A$2:$D$6,4,FALSE()),""))</f>
        <v/>
      </c>
      <c r="J29" s="8" t="n"/>
      <c r="K29" s="9">
        <f>IF(C29="","",MIN(100,IF(TRIM(J29)="",0,LEN(J29)-LEN(SUBSTITUTE(J29,",",""))+1)/Rules!$B$10*100))</f>
        <v/>
      </c>
      <c r="L29" s="8" t="n"/>
      <c r="M29" s="8" t="n"/>
      <c r="N29" s="8" t="n"/>
      <c r="O29" s="9">
        <f>IF(C29="","",9)</f>
        <v/>
      </c>
      <c r="P29" s="8" t="n"/>
      <c r="Q29" s="9">
        <f>IF(OR(C29="",P29=""),"",P29/O29*100)</f>
        <v/>
      </c>
      <c r="R29" s="9">
        <f>IF(C29="","",4)</f>
        <v/>
      </c>
      <c r="S29" s="8" t="n"/>
      <c r="T29" s="9">
        <f>IF(OR(C29="",S29=""),"",S29/R29*100)</f>
        <v/>
      </c>
      <c r="U29" s="8" t="n"/>
      <c r="V29" s="9">
        <f>IF(OR(G29="",K29="",Q29="",T29=""),"",ROUND(AVERAGE(G29,K29,Q29,T29),0))</f>
        <v/>
      </c>
      <c r="W29" s="9">
        <f>IF(COUNT(H29,L29,M29,N29,U29)&lt;5,"",ROUND((H29+L29+M29+N29+U29)/50*100,0))</f>
        <v/>
      </c>
      <c r="X29" s="9">
        <f>IF(OR(G29="",K29="",H29="",L29=""),"",ROUND(AVERAGE(G29,K29,H29*10,L29*10),1))</f>
        <v/>
      </c>
      <c r="Y29" s="9">
        <f>IF(COUNT(M29,N29)&lt;2,"",ROUND((M29+N29)/20*100,1))</f>
        <v/>
      </c>
      <c r="Z29" s="9">
        <f>IF(OR(Q29="",T29=""),"",ROUND(IF(Rules!$B$8=1,Q29*(0.5+0.5*T29/100),Q29),1))</f>
        <v/>
      </c>
      <c r="AA29" s="11">
        <f>IF(OR(Z29="",T29="",X29="",Y29="",U29=""),"",ROUND((Rules!$B$3*Z29+Rules!$B$4*T29+Rules!$B$5*X29+Rules!$B$6*Y29+Rules!$B$7*U29*10)/100,1))</f>
        <v/>
      </c>
      <c r="AB29" s="9">
        <f>IF(AA29="","",RANK(AA29,$AA$4:$AA$33,0))</f>
        <v/>
      </c>
    </row>
    <row r="30" ht="14.25" customHeight="1">
      <c r="A30" s="7" t="n">
        <v>27</v>
      </c>
      <c r="B30" s="8" t="n"/>
      <c r="C30" s="8" t="n"/>
      <c r="D30" s="9">
        <f>IF(C30="","",IFERROR(VLOOKUP(C30,Datasets!$A$2:$D$6,2,FALSE()),""))</f>
        <v/>
      </c>
      <c r="E30" s="9">
        <f>IF(C30="","",IFERROR(VLOOKUP(C30,Datasets!$A$2:$D$6,3,FALSE()),""))</f>
        <v/>
      </c>
      <c r="F30" s="8" t="n"/>
      <c r="G30" s="9">
        <f>IF(C30="","",MIN(100,IF(TRIM(F30)="",0,LEN(F30)-LEN(SUBSTITUTE(F30,",",""))+1)/Rules!$B$9*100))</f>
        <v/>
      </c>
      <c r="H30" s="8" t="n"/>
      <c r="I30" s="9">
        <f>IF(C30="","",IFERROR(VLOOKUP(C30,Datasets!$A$2:$D$6,4,FALSE()),""))</f>
        <v/>
      </c>
      <c r="J30" s="8" t="n"/>
      <c r="K30" s="9">
        <f>IF(C30="","",MIN(100,IF(TRIM(J30)="",0,LEN(J30)-LEN(SUBSTITUTE(J30,",",""))+1)/Rules!$B$10*100))</f>
        <v/>
      </c>
      <c r="L30" s="8" t="n"/>
      <c r="M30" s="8" t="n"/>
      <c r="N30" s="8" t="n"/>
      <c r="O30" s="9">
        <f>IF(C30="","",9)</f>
        <v/>
      </c>
      <c r="P30" s="8" t="n"/>
      <c r="Q30" s="9">
        <f>IF(OR(C30="",P30=""),"",P30/O30*100)</f>
        <v/>
      </c>
      <c r="R30" s="9">
        <f>IF(C30="","",4)</f>
        <v/>
      </c>
      <c r="S30" s="8" t="n"/>
      <c r="T30" s="9">
        <f>IF(OR(C30="",S30=""),"",S30/R30*100)</f>
        <v/>
      </c>
      <c r="U30" s="8" t="n"/>
      <c r="V30" s="9">
        <f>IF(OR(G30="",K30="",Q30="",T30=""),"",ROUND(AVERAGE(G30,K30,Q30,T30),0))</f>
        <v/>
      </c>
      <c r="W30" s="9">
        <f>IF(COUNT(H30,L30,M30,N30,U30)&lt;5,"",ROUND((H30+L30+M30+N30+U30)/50*100,0))</f>
        <v/>
      </c>
      <c r="X30" s="9">
        <f>IF(OR(G30="",K30="",H30="",L30=""),"",ROUND(AVERAGE(G30,K30,H30*10,L30*10),1))</f>
        <v/>
      </c>
      <c r="Y30" s="9">
        <f>IF(COUNT(M30,N30)&lt;2,"",ROUND((M30+N30)/20*100,1))</f>
        <v/>
      </c>
      <c r="Z30" s="9">
        <f>IF(OR(Q30="",T30=""),"",ROUND(IF(Rules!$B$8=1,Q30*(0.5+0.5*T30/100),Q30),1))</f>
        <v/>
      </c>
      <c r="AA30" s="11">
        <f>IF(OR(Z30="",T30="",X30="",Y30="",U30=""),"",ROUND((Rules!$B$3*Z30+Rules!$B$4*T30+Rules!$B$5*X30+Rules!$B$6*Y30+Rules!$B$7*U30*10)/100,1))</f>
        <v/>
      </c>
      <c r="AB30" s="9">
        <f>IF(AA30="","",RANK(AA30,$AA$4:$AA$33,0))</f>
        <v/>
      </c>
    </row>
    <row r="31" ht="14.25" customHeight="1">
      <c r="A31" s="7" t="n">
        <v>28</v>
      </c>
      <c r="B31" s="8" t="n"/>
      <c r="C31" s="8" t="n"/>
      <c r="D31" s="9">
        <f>IF(C31="","",IFERROR(VLOOKUP(C31,Datasets!$A$2:$D$6,2,FALSE()),""))</f>
        <v/>
      </c>
      <c r="E31" s="9">
        <f>IF(C31="","",IFERROR(VLOOKUP(C31,Datasets!$A$2:$D$6,3,FALSE()),""))</f>
        <v/>
      </c>
      <c r="F31" s="8" t="n"/>
      <c r="G31" s="9">
        <f>IF(C31="","",MIN(100,IF(TRIM(F31)="",0,LEN(F31)-LEN(SUBSTITUTE(F31,",",""))+1)/Rules!$B$9*100))</f>
        <v/>
      </c>
      <c r="H31" s="8" t="n"/>
      <c r="I31" s="9">
        <f>IF(C31="","",IFERROR(VLOOKUP(C31,Datasets!$A$2:$D$6,4,FALSE()),""))</f>
        <v/>
      </c>
      <c r="J31" s="8" t="n"/>
      <c r="K31" s="9">
        <f>IF(C31="","",MIN(100,IF(TRIM(J31)="",0,LEN(J31)-LEN(SUBSTITUTE(J31,",",""))+1)/Rules!$B$10*100))</f>
        <v/>
      </c>
      <c r="L31" s="8" t="n"/>
      <c r="M31" s="8" t="n"/>
      <c r="N31" s="8" t="n"/>
      <c r="O31" s="9">
        <f>IF(C31="","",9)</f>
        <v/>
      </c>
      <c r="P31" s="8" t="n"/>
      <c r="Q31" s="9">
        <f>IF(OR(C31="",P31=""),"",P31/O31*100)</f>
        <v/>
      </c>
      <c r="R31" s="9">
        <f>IF(C31="","",4)</f>
        <v/>
      </c>
      <c r="S31" s="8" t="n"/>
      <c r="T31" s="9">
        <f>IF(OR(C31="",S31=""),"",S31/R31*100)</f>
        <v/>
      </c>
      <c r="U31" s="8" t="n"/>
      <c r="V31" s="9">
        <f>IF(OR(G31="",K31="",Q31="",T31=""),"",ROUND(AVERAGE(G31,K31,Q31,T31),0))</f>
        <v/>
      </c>
      <c r="W31" s="9">
        <f>IF(COUNT(H31,L31,M31,N31,U31)&lt;5,"",ROUND((H31+L31+M31+N31+U31)/50*100,0))</f>
        <v/>
      </c>
      <c r="X31" s="9">
        <f>IF(OR(G31="",K31="",H31="",L31=""),"",ROUND(AVERAGE(G31,K31,H31*10,L31*10),1))</f>
        <v/>
      </c>
      <c r="Y31" s="9">
        <f>IF(COUNT(M31,N31)&lt;2,"",ROUND((M31+N31)/20*100,1))</f>
        <v/>
      </c>
      <c r="Z31" s="9">
        <f>IF(OR(Q31="",T31=""),"",ROUND(IF(Rules!$B$8=1,Q31*(0.5+0.5*T31/100),Q31),1))</f>
        <v/>
      </c>
      <c r="AA31" s="11">
        <f>IF(OR(Z31="",T31="",X31="",Y31="",U31=""),"",ROUND((Rules!$B$3*Z31+Rules!$B$4*T31+Rules!$B$5*X31+Rules!$B$6*Y31+Rules!$B$7*U31*10)/100,1))</f>
        <v/>
      </c>
      <c r="AB31" s="9">
        <f>IF(AA31="","",RANK(AA31,$AA$4:$AA$33,0))</f>
        <v/>
      </c>
    </row>
    <row r="32" ht="14.25" customHeight="1">
      <c r="A32" s="7" t="n">
        <v>29</v>
      </c>
      <c r="B32" s="8" t="n"/>
      <c r="C32" s="8" t="n"/>
      <c r="D32" s="9">
        <f>IF(C32="","",IFERROR(VLOOKUP(C32,Datasets!$A$2:$D$6,2,FALSE()),""))</f>
        <v/>
      </c>
      <c r="E32" s="9">
        <f>IF(C32="","",IFERROR(VLOOKUP(C32,Datasets!$A$2:$D$6,3,FALSE()),""))</f>
        <v/>
      </c>
      <c r="F32" s="8" t="n"/>
      <c r="G32" s="9">
        <f>IF(C32="","",MIN(100,IF(TRIM(F32)="",0,LEN(F32)-LEN(SUBSTITUTE(F32,",",""))+1)/Rules!$B$9*100))</f>
        <v/>
      </c>
      <c r="H32" s="8" t="n"/>
      <c r="I32" s="9">
        <f>IF(C32="","",IFERROR(VLOOKUP(C32,Datasets!$A$2:$D$6,4,FALSE()),""))</f>
        <v/>
      </c>
      <c r="J32" s="8" t="n"/>
      <c r="K32" s="9">
        <f>IF(C32="","",MIN(100,IF(TRIM(J32)="",0,LEN(J32)-LEN(SUBSTITUTE(J32,",",""))+1)/Rules!$B$10*100))</f>
        <v/>
      </c>
      <c r="L32" s="8" t="n"/>
      <c r="M32" s="8" t="n"/>
      <c r="N32" s="8" t="n"/>
      <c r="O32" s="9">
        <f>IF(C32="","",9)</f>
        <v/>
      </c>
      <c r="P32" s="8" t="n"/>
      <c r="Q32" s="9">
        <f>IF(OR(C32="",P32=""),"",P32/O32*100)</f>
        <v/>
      </c>
      <c r="R32" s="9">
        <f>IF(C32="","",4)</f>
        <v/>
      </c>
      <c r="S32" s="8" t="n"/>
      <c r="T32" s="9">
        <f>IF(OR(C32="",S32=""),"",S32/R32*100)</f>
        <v/>
      </c>
      <c r="U32" s="8" t="n"/>
      <c r="V32" s="9">
        <f>IF(OR(G32="",K32="",Q32="",T32=""),"",ROUND(AVERAGE(G32,K32,Q32,T32),0))</f>
        <v/>
      </c>
      <c r="W32" s="9">
        <f>IF(COUNT(H32,L32,M32,N32,U32)&lt;5,"",ROUND((H32+L32+M32+N32+U32)/50*100,0))</f>
        <v/>
      </c>
      <c r="X32" s="9">
        <f>IF(OR(G32="",K32="",H32="",L32=""),"",ROUND(AVERAGE(G32,K32,H32*10,L32*10),1))</f>
        <v/>
      </c>
      <c r="Y32" s="9">
        <f>IF(COUNT(M32,N32)&lt;2,"",ROUND((M32+N32)/20*100,1))</f>
        <v/>
      </c>
      <c r="Z32" s="9">
        <f>IF(OR(Q32="",T32=""),"",ROUND(IF(Rules!$B$8=1,Q32*(0.5+0.5*T32/100),Q32),1))</f>
        <v/>
      </c>
      <c r="AA32" s="11">
        <f>IF(OR(Z32="",T32="",X32="",Y32="",U32=""),"",ROUND((Rules!$B$3*Z32+Rules!$B$4*T32+Rules!$B$5*X32+Rules!$B$6*Y32+Rules!$B$7*U32*10)/100,1))</f>
        <v/>
      </c>
      <c r="AB32" s="9">
        <f>IF(AA32="","",RANK(AA32,$AA$4:$AA$33,0))</f>
        <v/>
      </c>
    </row>
    <row r="33" ht="14.25" customHeight="1">
      <c r="A33" s="7" t="n">
        <v>30</v>
      </c>
      <c r="B33" s="8" t="n"/>
      <c r="C33" s="8" t="n"/>
      <c r="D33" s="9">
        <f>IF(C33="","",IFERROR(VLOOKUP(C33,Datasets!$A$2:$D$6,2,FALSE()),""))</f>
        <v/>
      </c>
      <c r="E33" s="9">
        <f>IF(C33="","",IFERROR(VLOOKUP(C33,Datasets!$A$2:$D$6,3,FALSE()),""))</f>
        <v/>
      </c>
      <c r="F33" s="8" t="n"/>
      <c r="G33" s="9">
        <f>IF(C33="","",MIN(100,IF(TRIM(F33)="",0,LEN(F33)-LEN(SUBSTITUTE(F33,",",""))+1)/Rules!$B$9*100))</f>
        <v/>
      </c>
      <c r="H33" s="8" t="n"/>
      <c r="I33" s="9">
        <f>IF(C33="","",IFERROR(VLOOKUP(C33,Datasets!$A$2:$D$6,4,FALSE()),""))</f>
        <v/>
      </c>
      <c r="J33" s="8" t="n"/>
      <c r="K33" s="9">
        <f>IF(C33="","",MIN(100,IF(TRIM(J33)="",0,LEN(J33)-LEN(SUBSTITUTE(J33,",",""))+1)/Rules!$B$10*100))</f>
        <v/>
      </c>
      <c r="L33" s="8" t="n"/>
      <c r="M33" s="8" t="n"/>
      <c r="N33" s="8" t="n"/>
      <c r="O33" s="9">
        <f>IF(C33="","",9)</f>
        <v/>
      </c>
      <c r="P33" s="8" t="n"/>
      <c r="Q33" s="9">
        <f>IF(OR(C33="",P33=""),"",P33/O33*100)</f>
        <v/>
      </c>
      <c r="R33" s="9">
        <f>IF(C33="","",4)</f>
        <v/>
      </c>
      <c r="S33" s="8" t="n"/>
      <c r="T33" s="9">
        <f>IF(OR(C33="",S33=""),"",S33/R33*100)</f>
        <v/>
      </c>
      <c r="U33" s="8" t="n"/>
      <c r="V33" s="9">
        <f>IF(OR(G33="",K33="",Q33="",T33=""),"",ROUND(AVERAGE(G33,K33,Q33,T33),0))</f>
        <v/>
      </c>
      <c r="W33" s="9">
        <f>IF(COUNT(H33,L33,M33,N33,U33)&lt;5,"",ROUND((H33+L33+M33+N33+U33)/50*100,0))</f>
        <v/>
      </c>
      <c r="X33" s="9">
        <f>IF(OR(G33="",K33="",H33="",L33=""),"",ROUND(AVERAGE(G33,K33,H33*10,L33*10),1))</f>
        <v/>
      </c>
      <c r="Y33" s="9">
        <f>IF(COUNT(M33,N33)&lt;2,"",ROUND((M33+N33)/20*100,1))</f>
        <v/>
      </c>
      <c r="Z33" s="9">
        <f>IF(OR(Q33="",T33=""),"",ROUND(IF(Rules!$B$8=1,Q33*(0.5+0.5*T33/100),Q33),1))</f>
        <v/>
      </c>
      <c r="AA33" s="11">
        <f>IF(OR(Z33="",T33="",X33="",Y33="",U33=""),"",ROUND((Rules!$B$3*Z33+Rules!$B$4*T33+Rules!$B$5*X33+Rules!$B$6*Y33+Rules!$B$7*U33*10)/100,1))</f>
        <v/>
      </c>
      <c r="AB33" s="9">
        <f>IF(AA33="","",RANK(AA33,$AA$4:$AA$33,0))</f>
        <v/>
      </c>
    </row>
  </sheetData>
  <dataValidations count="4">
    <dataValidation sqref="C4:C33" showDropDown="0" showInputMessage="0" showErrorMessage="0" allowBlank="1" type="list">
      <formula1>"ORD,HR,RISK,PAY,CLN"</formula1>
      <formula2>0</formula2>
    </dataValidation>
    <dataValidation sqref="H4:H33 L4:N33 U4:U33" showDropDown="0" showInputMessage="0" showErrorMessage="1" allowBlank="1" error="Enter a whole number from 1 to 10" type="whole">
      <formula1>1</formula1>
      <formula2>10</formula2>
    </dataValidation>
    <dataValidation sqref="P4:P33" showDropDown="0" showInputMessage="0" showErrorMessage="1" allowBlank="1" error="Enter 0 to 9" type="whole">
      <formula1>0</formula1>
      <formula2>9</formula2>
    </dataValidation>
    <dataValidation sqref="S4:S33" showDropDown="0" showInputMessage="0" showErrorMessage="1" allowBlank="1" error="Enter 0 to 4" type="whole">
      <formula1>0</formula1>
      <formula2>4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min="1" max="1"/>
    <col width="14" customWidth="1" min="2" max="2"/>
    <col width="38" customWidth="1" min="3" max="3"/>
    <col width="44" customWidth="1" min="4" max="4"/>
  </cols>
  <sheetData>
    <row r="1" ht="15" customHeight="1">
      <c r="A1" s="12" t="inlineStr">
        <is>
          <t>Code</t>
        </is>
      </c>
      <c r="B1" s="12" t="inlineStr">
        <is>
          <t>Kind 1 given</t>
        </is>
      </c>
      <c r="C1" s="12" t="inlineStr">
        <is>
          <t>Kind 1 names (given first)</t>
        </is>
      </c>
      <c r="D1" s="12" t="inlineStr">
        <is>
          <t>Kind 2 names</t>
        </is>
      </c>
    </row>
    <row r="2" ht="15" customHeight="1">
      <c r="A2" s="13" t="inlineStr">
        <is>
          <t>ORD</t>
        </is>
      </c>
      <c r="B2" s="13" t="inlineStr">
        <is>
          <t>Order</t>
        </is>
      </c>
      <c r="C2" s="13" t="inlineStr">
        <is>
          <t>Order, Customer, Driver, Return</t>
        </is>
      </c>
      <c r="D2" s="13" t="inlineStr">
        <is>
          <t>Dock, Zone, Quantity, Season</t>
        </is>
      </c>
    </row>
    <row r="3" ht="15" customHeight="1">
      <c r="A3" s="13" t="inlineStr">
        <is>
          <t>HR</t>
        </is>
      </c>
      <c r="B3" s="13" t="inlineStr">
        <is>
          <t>Employee</t>
        </is>
      </c>
      <c r="C3" s="13" t="inlineStr">
        <is>
          <t>Employee, Contractor, Manager, Case</t>
        </is>
      </c>
      <c r="D3" s="13" t="inlineStr">
        <is>
          <t>Floor, Grade, Amount, Appraisal period</t>
        </is>
      </c>
    </row>
    <row r="4" ht="15" customHeight="1">
      <c r="A4" s="13" t="inlineStr">
        <is>
          <t>RISK</t>
        </is>
      </c>
      <c r="B4" s="13" t="inlineStr">
        <is>
          <t>Incident</t>
        </is>
      </c>
      <c r="C4" s="13" t="inlineStr">
        <is>
          <t>Incident, Problem, Risk, Change</t>
        </is>
      </c>
      <c r="D4" s="13" t="inlineStr">
        <is>
          <t>Rack, Severity, User count, Month-end close</t>
        </is>
      </c>
    </row>
    <row r="5" ht="15" customHeight="1">
      <c r="A5" s="13" t="inlineStr">
        <is>
          <t>PAY</t>
        </is>
      </c>
      <c r="B5" s="13" t="inlineStr">
        <is>
          <t>Invoice</t>
        </is>
      </c>
      <c r="C5" s="13" t="inlineStr">
        <is>
          <t>Invoice, Shipment, Payment, PO</t>
        </is>
      </c>
      <c r="D5" s="13" t="inlineStr">
        <is>
          <t>Port, Payment terms, Amount, Settlement period</t>
        </is>
      </c>
    </row>
    <row r="6" ht="15" customHeight="1">
      <c r="A6" s="13" t="inlineStr">
        <is>
          <t>CLN</t>
        </is>
      </c>
      <c r="B6" s="13" t="inlineStr">
        <is>
          <t>Patient</t>
        </is>
      </c>
      <c r="C6" s="13" t="inlineStr">
        <is>
          <t>Patient, Prescription, Clinician, Lab</t>
        </is>
      </c>
      <c r="D6" s="13" t="inlineStr">
        <is>
          <t>Ward, Wing, Dose, Clinic session</t>
        </is>
      </c>
    </row>
    <row r="8" ht="15" customHeight="1">
      <c r="A8" t="inlineStr">
        <is>
          <t>JUDGES ONLY. Look-up table for the Scorecard sheet (Kind 1 given / available, Kind 2 available).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"/>
    </sheetView>
  </sheetViews>
  <sheetFormatPr baseColWidth="8" defaultColWidth="8.6328125" defaultRowHeight="14.5"/>
  <cols>
    <col width="62" customWidth="1" min="1" max="1"/>
    <col width="10" customWidth="1" min="2" max="2"/>
    <col width="34" customWidth="1" min="3" max="3"/>
  </cols>
  <sheetData>
    <row r="1" ht="15.75" customHeight="1">
      <c r="A1" s="14" t="inlineStr">
        <is>
          <t>Scoring rules and weights (change the yellow cells; the Scorecard recalculates)</t>
        </is>
      </c>
    </row>
    <row r="3" ht="15" customHeight="1">
      <c r="A3" s="13" t="inlineStr">
        <is>
          <t>Weight: hidden adversarial (no fabricated links)</t>
        </is>
      </c>
      <c r="B3" s="15" t="n">
        <v>30</v>
      </c>
    </row>
    <row r="4" ht="15" customHeight="1">
      <c r="A4" s="13" t="inlineStr">
        <is>
          <t>Weight: hidden positive (affirms real links)</t>
        </is>
      </c>
      <c r="B4" s="15" t="n">
        <v>20</v>
      </c>
    </row>
    <row r="5" ht="15" customHeight="1">
      <c r="A5" s="13" t="inlineStr">
        <is>
          <t>Weight: pattern choices and rationale</t>
        </is>
      </c>
      <c r="B5" s="15" t="n">
        <v>20</v>
      </c>
    </row>
    <row r="6" ht="15" customHeight="1">
      <c r="A6" s="13" t="inlineStr">
        <is>
          <t>Weight: explaining outcomes</t>
        </is>
      </c>
      <c r="B6" s="15" t="n">
        <v>20</v>
      </c>
    </row>
    <row r="7" ht="15" customHeight="1">
      <c r="A7" s="13" t="inlineStr">
        <is>
          <t>Weight: runs end-to-end and demo clarity</t>
        </is>
      </c>
      <c r="B7" s="15" t="n">
        <v>10</v>
      </c>
    </row>
    <row r="8" ht="15" customHeight="1">
      <c r="A8" s="13" t="inlineStr">
        <is>
          <t>Scale adversarial credit by positive result? (1 = yes, 0 = no)</t>
        </is>
      </c>
      <c r="B8" s="15" t="n">
        <v>1</v>
      </c>
    </row>
    <row r="9" ht="15" customHeight="1">
      <c r="A9" s="13" t="inlineStr">
        <is>
          <t>Kind 1 patterns to find beyond the given one</t>
        </is>
      </c>
      <c r="B9" s="15" t="n">
        <v>3</v>
      </c>
    </row>
    <row r="10" ht="15" customHeight="1">
      <c r="A10" s="13" t="inlineStr">
        <is>
          <t>Kind 2 traps per dataset</t>
        </is>
      </c>
      <c r="B10" s="15" t="n">
        <v>4</v>
      </c>
    </row>
    <row r="11" ht="15" customHeight="1">
      <c r="A11" t="inlineStr">
        <is>
          <t>Weights total</t>
        </is>
      </c>
      <c r="B11">
        <f>SUM(B3:B7)</f>
        <v/>
      </c>
      <c r="C11">
        <f>IF(B11=100,"OK","Weights must add up to 100")</f>
        <v/>
      </c>
    </row>
    <row r="13" ht="15" customHeight="1">
      <c r="A13" s="16" t="inlineStr">
        <is>
          <t>How each score is worked out</t>
        </is>
      </c>
    </row>
    <row r="14" ht="48" customHeight="1">
      <c r="A14" s="1" t="inlineStr">
        <is>
          <t>Kind 1 coverage % = patterns found beyond the given one / 3. Kind 2 coverage % = traps correctly rejected / 4 (counts of the comma-separated names).</t>
        </is>
      </c>
    </row>
    <row r="15" ht="48" customHeight="1">
      <c r="A15" s="1" t="inlineStr">
        <is>
          <t>Adversarial credit = hidden adversarial % x (0.5 + 0.5 x hidden positive %) when the toggle is 1. Reason: a team that adds nothing never invents a link, so it would otherwise earn full credit on the biggest criterion for doing nothing.</t>
        </is>
      </c>
    </row>
    <row r="16" ht="48" customHeight="1">
      <c r="A16" s="1" t="inlineStr">
        <is>
          <t>Patterns score = average of Kind 1 coverage %, Kind 2 coverage %, and the two justification scales x 10.</t>
        </is>
      </c>
    </row>
    <row r="17" ht="48" customHeight="1">
      <c r="A17" s="1" t="inlineStr">
        <is>
          <t>Explaining outcomes = (baseline-vs-grounded observation + public outcomes scale) / 20 x 100.</t>
        </is>
      </c>
    </row>
    <row r="18" ht="48" customHeight="1">
      <c r="A18" s="1" t="inlineStr">
        <is>
          <t>Runs and demo = the 1-10 scale x 10.</t>
        </is>
      </c>
    </row>
    <row r="19" ht="48" customHeight="1">
      <c r="A19" s="1" t="inlineStr">
        <is>
          <t>Weighted total = sum of (weight x score) / 100. Ties: higher adversarial %, then Explaining outcomes, then Patterns score.</t>
        </is>
      </c>
    </row>
    <row r="20" ht="48" customHeight="1">
      <c r="A20" s="1" t="inlineStr">
        <is>
          <t>Public-pack results are not scored: teams can see those questions. They are used only through the two explanation scales.</t>
        </is>
      </c>
    </row>
  </sheetData>
  <mergeCells count="7">
    <mergeCell ref="A19:C19"/>
    <mergeCell ref="A14:C14"/>
    <mergeCell ref="A17:C17"/>
    <mergeCell ref="A18:C18"/>
    <mergeCell ref="A15:C15"/>
    <mergeCell ref="A20:C20"/>
    <mergeCell ref="A16:C1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2" customWidth="1" min="4" max="4"/>
  </cols>
  <sheetData>
    <row r="1">
      <c r="A1" s="17" t="inlineStr">
        <is>
          <t>Baseline pilot result (public pack, run on the starters, Oct 12) and how to use it when scoring</t>
        </is>
      </c>
    </row>
    <row r="2" ht="32" customHeight="1">
      <c r="A2" s="1" t="inlineStr">
        <is>
          <t>Grounded answers were correct on 8/8 for all five datasets. The baseline (ungrounded) answers differ by dataset.</t>
        </is>
      </c>
    </row>
    <row r="4" ht="32" customHeight="1">
      <c r="A4" s="18" t="inlineStr">
        <is>
          <t>Dataset</t>
        </is>
      </c>
      <c r="B4" s="18" t="inlineStr">
        <is>
          <t>Baseline wrong "yes" (of 8 public)</t>
        </is>
      </c>
      <c r="C4" s="18" t="inlineStr">
        <is>
          <t>Which questions</t>
        </is>
      </c>
      <c r="D4" s="18" t="inlineStr">
        <is>
          <t>Notes</t>
        </is>
      </c>
    </row>
    <row r="5">
      <c r="A5" s="1" t="inlineStr">
        <is>
          <t>PAY</t>
        </is>
      </c>
      <c r="B5" s="1" t="n">
        <v>4</v>
      </c>
      <c r="C5" s="1" t="inlineStr">
        <is>
          <t>P2, P5, P6, P7</t>
        </is>
      </c>
      <c r="D5" s="1" t="inlineStr">
        <is>
          <t>P4 also leans yes ("likely sent as a follow-up"). Clearest contrast.</t>
        </is>
      </c>
    </row>
    <row r="6">
      <c r="A6" s="1" t="inlineStr">
        <is>
          <t>CLN</t>
        </is>
      </c>
      <c r="B6" s="1" t="n">
        <v>3</v>
      </c>
      <c r="C6" s="1" t="inlineStr">
        <is>
          <t>P1, P4, P5</t>
        </is>
      </c>
      <c r="D6" s="1" t="inlineStr"/>
    </row>
    <row r="7">
      <c r="A7" s="1" t="inlineStr">
        <is>
          <t>RISK</t>
        </is>
      </c>
      <c r="B7" s="1" t="n">
        <v>1</v>
      </c>
      <c r="C7" s="1" t="inlineStr">
        <is>
          <t>P1</t>
        </is>
      </c>
      <c r="D7" s="1" t="inlineStr">
        <is>
          <t>P5 and P7 invent surrounding detail, but the verdict is right.</t>
        </is>
      </c>
    </row>
    <row r="8">
      <c r="A8" s="1" t="inlineStr">
        <is>
          <t>HR</t>
        </is>
      </c>
      <c r="B8" s="1" t="n">
        <v>0</v>
      </c>
      <c r="C8" s="1" t="inlineStr">
        <is>
          <t>none</t>
        </is>
      </c>
      <c r="D8" s="1" t="inlineStr">
        <is>
          <t>Hedges on P3 and P6, right on the rest.</t>
        </is>
      </c>
    </row>
    <row r="9">
      <c r="A9" s="1" t="inlineStr">
        <is>
          <t>ORD</t>
        </is>
      </c>
      <c r="B9" s="1" t="n">
        <v>0</v>
      </c>
      <c r="C9" s="1" t="inlineStr">
        <is>
          <t>none</t>
        </is>
      </c>
      <c r="D9" s="1" t="inlineStr">
        <is>
          <t>P6 hedges toward a link ("it is possible").</t>
        </is>
      </c>
    </row>
    <row r="11" ht="32" customHeight="1">
      <c r="A11" s="19" t="inlineStr">
        <is>
          <t>How to score the column "From the public queries, any observation where Baseline and grounded answers do not agree?" (column M)</t>
        </is>
      </c>
    </row>
    <row r="12" ht="32" customHeight="1">
      <c r="A12" s="1" t="inlineStr">
        <is>
          <t>• Marks elsewhere are structural, so the five datasets are equally hard for the registry. Only this item depends on how much the baseline fabricated.</t>
        </is>
      </c>
    </row>
    <row r="13" ht="32" customHeight="1">
      <c r="A13" s="1" t="inlineStr">
        <is>
          <t>• HR and ORD teams will see few or no baseline fabrications on the public pack; PAY and CLN teams will see several.</t>
        </is>
      </c>
    </row>
    <row r="14" ht="32" customHeight="1">
      <c r="A14" s="1" t="inlineStr">
        <is>
          <t>• Score on whether the team reports what its own run showed, accurately and specifically, not on how many baseline failures it found.</t>
        </is>
      </c>
    </row>
    <row r="15" ht="32" customHeight="1">
      <c r="A15" s="1" t="inlineStr">
        <is>
          <t>• Example: a team that writes "the baseline got all 8 right here; the grounded side added record IDs and refused P6" earns the same as a PAY team that lists four fabrications.</t>
        </is>
      </c>
    </row>
    <row r="16" ht="32" customHeight="1">
      <c r="A16" s="1" t="inlineStr">
        <is>
          <t>• Do not compare teams across datasets on the count of baseline failures.</t>
        </is>
      </c>
    </row>
  </sheetData>
  <mergeCells count="7">
    <mergeCell ref="A11:D11"/>
    <mergeCell ref="A12:D12"/>
    <mergeCell ref="A15:D15"/>
    <mergeCell ref="A16:D16"/>
    <mergeCell ref="A2:D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Jayanta Biswas</dc:creator>
  <dcterms:created xmlns:dcterms="http://purl.org/dc/terms/" xmlns:xsi="http://www.w3.org/2001/XMLSchema-instance" xsi:type="dcterms:W3CDTF">2026-10-12T13:49:18Z</dcterms:created>
  <dcterms:modified xmlns:dcterms="http://purl.org/dc/terms/" xmlns:xsi="http://www.w3.org/2001/XMLSchema-instance" xsi:type="dcterms:W3CDTF">2026-10-12T15:03:40Z</dcterms:modified>
  <cp:lastModifiedBy>Jayanta Biswas</cp:lastModifiedBy>
</cp:coreProperties>
</file>