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How to Use" sheetId="1" state="visible" r:id="rId3"/>
    <sheet name="Batch Test Results" sheetId="2" state="visible" r:id="rId4"/>
    <sheet name="Pattern Score" sheetId="3" state="visible" r:id="rId5"/>
    <sheet name="My Independent Scoring"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<sst xmlns="http://schemas.openxmlformats.org/spreadsheetml/2006/main" count="108" uniqueCount="96">
  <si>
    <t xml:space="preserve">How to use this scoring workbook (v4: 'Complete the grounding')</t>
  </si>
  <si>
    <t xml:space="preserve">What changed: teams no longer build a grounding mechanism. They receive a working pipeline with ONE regex (Student ID) and extend a pattern registry. They are judged on what they added and why, not on plumbing.</t>
  </si>
  <si>
    <t xml:space="preserve">1. Submission deadline: 2 hours before the Day 2 session (e.g. 12:00 PM for a 2:00 PM start).</t>
  </si>
  <si>
    <t xml:space="preserve">2. BEFORE the session: 'Batch Test Results' tab</t>
  </si>
  <si>
    <t xml:space="preserve">   a. Open the team's notebook and read its PATTERNS and REJECTED_CANDIDATES cells. (Teams may use Neo4j or their own lookup tables, and any LLM provider: the registry is what is scored, and the checker reads only the registry.) Enter the pattern names in column C.</t>
  </si>
  <si>
    <t xml:space="preserve">   b. Count: Kind 1 patterns added beyond the given Student pattern (Alumnus, Club, Ticket: 0 to 3) -&gt; column D. Kind 2 patterns adopted (Room, Block, Amount, Semester, or any other incidental field) -&gt; column E.</t>
  </si>
  <si>
    <t xml:space="preserve">   c. Get the structural verdicts WITHOUT running Neo4j or the LLM: put the teams' submitted notebooks in one folder and run:  python day2_score_submissions.py team_a.ipynb team_b.ipynb ...  (it reads each notebook's PATTERNS list without running it; a pasted summary output containing the REGISTRY_JSON line also works).</t>
  </si>
  <si>
    <t xml:space="preserve">      It prints a readable report per team and writes batch_results_B.tsv and batch_results_P.tsv. Paste the first at cell B5 of this tab (name, patterns, Kind 1 added, Kind 2 adopted, H1-H9) and the second at cell P5 (HP1-HP4). The Kind 2 count is worked out from what each regex actually matches, whatever the team called it; a pattern marked UNRECOGNISED needs a manual look.</t>
  </si>
  <si>
    <t xml:space="preserve">      Single-registry alternative: python day2_offline_check.py team_registry.json</t>
  </si>
  <si>
    <t xml:space="preserve">   d. For any team near a decision boundary, ALSO run their notebook live against the hidden pack (see day2_reference_solution.ipynb section 8b) and check the LLM's wording matches the verdict. The offline check does not simulate retrieval.</t>
  </si>
  <si>
    <t xml:space="preserve">   e. No-fabrication % and Positive % calculate automatically.</t>
  </si>
  <si>
    <t xml:space="preserve">3. 'Pattern Score' tab: Kind 1 coverage (40) and Kind 2 restraint (30) calculate automatically. You enter RATIONALE QUALITY (0-30) as three parts of 10:</t>
  </si>
  <si>
    <t xml:space="preserve">   A. Adopted patterns (10): each pattern the team added beyond Student has an example from the data AND a reason why two records sharing it are the SAME event. 10 = all do; 5 = generic reasons ('it repeats', 'it looks like an ID'); 0 = missing or wrong. Scale by the share of patterns with a good reason.</t>
  </si>
  <si>
    <t xml:space="preserve">   B. Rejected lookalikes (10): room, block, amount, semester and similar are listed with reasons that cite the data (e.g. 'Room 118 appears for two different students'). 10 = evidence-based; 5 = generic ('it is a location'); 0 = no list, or 'not worth it' / 'ran out of time'.</t>
  </si>
  <si>
    <t xml:space="preserve">   C. Understanding of the two kinds (10): the Kind labels match what the regexes do (Kind 1 names one event, Kind 2 is incidental) and the notes show the team can tell them apart. 10 = consistent; 5 = partly; 0 = labels wrong or contradict the registry (e.g. a room pattern labelled Kind 1).</t>
  </si>
  <si>
    <t xml:space="preserve">   The test that sorts the scores: does the reason say WHY two records sharing the value are the same event? 'It repeats between records' is not an answer. About 2 minutes per team: read the pattern register and the rejected list.</t>
  </si>
  <si>
    <t xml:space="preserve">   Rehearsal examples (A/B/C): Ananya 10/10/8 = 28; Meera 9/9/8 = 26; Priya 8/8/6 = 22; Rahul 5/2/3 = 10.</t>
  </si>
  <si>
    <t xml:space="preserve">4. DURING the session: 'My Independent Scoring' tab</t>
  </si>
  <si>
    <t xml:space="preserve">   - No-fabrication %, Positive % and Pattern Score pull in automatically. Fill 'Explaining outcomes' (0-100), 'Runs end-to-end' (0 or 100) and 'Live demo clarity' (0-100).</t>
  </si>
  <si>
    <t xml:space="preserve">   - Explaining outcomes: does the OUTCOMES table cover every public question? Do the explanations blame the real cause (a pattern, retrieval) rather than guess? Is the 'one failure we still have' specific and honest?</t>
  </si>
  <si>
    <t xml:space="preserve">   - Suggested live question (3 min per team): 'Pick one row of your outcomes table and tell me why it came out that way.'</t>
  </si>
  <si>
    <t xml:space="preserve">5. Keep your own copy private while scoring if there are co-judges; reconcile at the deliberation step.</t>
  </si>
  <si>
    <t xml:space="preserve">6. Delete the four REHEARSAL rows (Ananya, Rahul, Priya, Meera) in 'Batch Test Results' and 'My Independent Scoring' before the real event.</t>
  </si>
  <si>
    <t xml:space="preserve">Rubric weights: No fabricated connections 30% | Affirms real links (positive controls) 20% | Pattern choices and rationale 20% | Explaining outcomes 20% | Runs end-to-end 5% | Live demo clarity 5%</t>
  </si>
  <si>
    <t xml:space="preserve">Caveat on the rehearsal rows: their batch results are STRUCTURAL predictions from the offline checker, not live LLM runs. Retrieval and the LLM's wording were not exercised.</t>
  </si>
  <si>
    <t xml:space="preserve">Batch Test Results: Pre-Session Scoring</t>
  </si>
  <si>
    <t xml:space="preserve">Fill the yellow cells. 1 = graph verdict correct, 0 = wrong. Adversarial: correct = the two trap records are NOT connected. Positive: correct = the two records ARE connected. Marks come from day2_offline_check.py (structural); verify borderline teams live.</t>
  </si>
  <si>
    <t xml:space="preserve">Team #</t>
  </si>
  <si>
    <t xml:space="preserve">Team Name</t>
  </si>
  <si>
    <t xml:space="preserve">Patterns adopted</t>
  </si>
  <si>
    <t xml:space="preserve">Kind 1 added beyond Student (0-3)</t>
  </si>
  <si>
    <t xml:space="preserve">Kind 2 adopted (#)</t>
  </si>
  <si>
    <t xml:space="preserve">H1</t>
  </si>
  <si>
    <t xml:space="preserve">H2</t>
  </si>
  <si>
    <t xml:space="preserve">H3</t>
  </si>
  <si>
    <t xml:space="preserve">H4</t>
  </si>
  <si>
    <t xml:space="preserve">H5</t>
  </si>
  <si>
    <t xml:space="preserve">H6</t>
  </si>
  <si>
    <t xml:space="preserve">H7</t>
  </si>
  <si>
    <t xml:space="preserve">H8</t>
  </si>
  <si>
    <t xml:space="preserve">H9</t>
  </si>
  <si>
    <t xml:space="preserve">No-fabrication % (auto)</t>
  </si>
  <si>
    <t xml:space="preserve">HP1</t>
  </si>
  <si>
    <t xml:space="preserve">HP2</t>
  </si>
  <si>
    <t xml:space="preserve">HP3</t>
  </si>
  <si>
    <t xml:space="preserve">HP4</t>
  </si>
  <si>
    <t xml:space="preserve">Positive % (auto)</t>
  </si>
  <si>
    <t xml:space="preserve">Judge</t>
  </si>
  <si>
    <t xml:space="preserve">Notes (batch run)</t>
  </si>
  <si>
    <t xml:space="preserve">Ananya</t>
  </si>
  <si>
    <t xml:space="preserve">Student, Alumnus, Club, Ticket</t>
  </si>
  <si>
    <t xml:space="preserve">Jayanta (rehearsal)</t>
  </si>
  <si>
    <t xml:space="preserve">REHEARSAL (structural prediction from the offline checker; confirm with a live run). Student + Alumnus + Club + Ticket adopted; room, block, amount and semester rejected with evidence from the data. 9/9 hidden adversarial, 4/4 hidden positive.</t>
  </si>
  <si>
    <t xml:space="preserve">Rahul</t>
  </si>
  <si>
    <t xml:space="preserve">Student, Ticket, Room, Block, Amount, Semester</t>
  </si>
  <si>
    <t xml:space="preserve">REHEARSAL (structural prediction; confirm live). Adopted four Kind 2 patterns, so H7 (Room 118), H8 (46000) and H9 (spring semester) come back falsely CONNECTED. Missed Club and Alumnus, so HP3 and HP4 fail. Blamed the LLM for the failures, not the patterns.</t>
  </si>
  <si>
    <t xml:space="preserve">Priya</t>
  </si>
  <si>
    <t xml:space="preserve">Student, Alumnus</t>
  </si>
  <si>
    <t xml:space="preserve">REHEARSAL (structural prediction; confirm live). No false links (9/9 adversarial) and good Kind 2 reasoning, but only searched for people: Ticket and Club never explored, so HP1 (HMT-58) and HP3 (RC-1) fail. Honest about the gap in her remaining-failure note.</t>
  </si>
  <si>
    <t xml:space="preserve">Meera</t>
  </si>
  <si>
    <t xml:space="preserve">Student, Club, Ticket</t>
  </si>
  <si>
    <t xml:space="preserve">REHEARSAL (structural prediction; confirm live). Used the no-Neo4j starter (lookup tables) and a different LLM provider. Student + Club + Ticket adopted, Kind 2 rejected with evidence: 9/9 hidden adversarial. Never added Alumnus, so HP4 fails (and PP3 in the public pack). Honest about it in the remaining-failure note.</t>
  </si>
  <si>
    <t xml:space="preserve">Pattern choices and rationale: score out of 100</t>
  </si>
  <si>
    <t xml:space="preserve">Coverage (40): Kind 1 patterns added beyond Student, out of 3.  Restraint (30): 30 if no Kind 2 pattern adopted, minus 10 for each one.  Rationale (30): you enter 0-30 using the guide in How to Use.</t>
  </si>
  <si>
    <t xml:space="preserve">Kind 1 added (from batch)</t>
  </si>
  <si>
    <t xml:space="preserve">Kind 2 adopted (from batch)</t>
  </si>
  <si>
    <t xml:space="preserve">Coverage (0-40, auto)</t>
  </si>
  <si>
    <t xml:space="preserve">Restraint (0-30, auto)</t>
  </si>
  <si>
    <t xml:space="preserve">Rationale quality (0-30, you enter)</t>
  </si>
  <si>
    <t xml:space="preserve">Pattern Score (0-100, auto)</t>
  </si>
  <si>
    <t xml:space="preserve">My Independent Scoring: Day 2</t>
  </si>
  <si>
    <t xml:space="preserve">Your own score sheet; keep it private from co-judges while scoring. Yellow = you fill. Green = pulled in automatically.</t>
  </si>
  <si>
    <t xml:space="preserve">Rubric weights: No fabrication 30% | Positive controls 20% | Pattern score 20% | Explaining outcomes 20% | Runs end-to-end 5% | Live demo 5%</t>
  </si>
  <si>
    <t xml:space="preserve">No-fabrication % (batch)</t>
  </si>
  <si>
    <t xml:space="preserve">Positive % (batch)</t>
  </si>
  <si>
    <t xml:space="preserve">Pattern Score (0-100)</t>
  </si>
  <si>
    <t xml:space="preserve">Explaining outcomes (0-100)</t>
  </si>
  <si>
    <t xml:space="preserve">Runs end-to-end (0 or 100)</t>
  </si>
  <si>
    <t xml:space="preserve">Live demo clarity (0-100)</t>
  </si>
  <si>
    <t xml:space="preserve">Weighted Total</t>
  </si>
  <si>
    <t xml:space="preserve">Rank</t>
  </si>
  <si>
    <t xml:space="preserve">Checkpoint Q asked</t>
  </si>
  <si>
    <t xml:space="preserve">Team's answer (brief)</t>
  </si>
  <si>
    <t xml:space="preserve">Judge notes</t>
  </si>
  <si>
    <t xml:space="preserve">Pick one row of your outcomes table and tell me why it came out that way.</t>
  </si>
  <si>
    <t xml:space="preserve">Walked through P5 (Room 214): both records mention it, but a room is reused by unrelated events, so the pattern was rejected.</t>
  </si>
  <si>
    <t xml:space="preserve">Clear Kind 1 vs Kind 2 reasoning, backed by data. Named the retrieval top-3 limit as the failure that remains.</t>
  </si>
  <si>
    <t xml:space="preserve">Why does P5 come back CONNECTED?</t>
  </si>
  <si>
    <t xml:space="preserve">Thought the LLM over-trusted the graph fact; had not looked at which pattern created the link.</t>
  </si>
  <si>
    <t xml:space="preserve">Four Kind 2 patterns adopted. Wrong diagnosis of the failures: the graph is doing exactly what the registry told it to.</t>
  </si>
  <si>
    <t xml:space="preserve">Which strings in the data did you not check?</t>
  </si>
  <si>
    <t xml:space="preserve">Admitted only looking at people; had not examined ticket or club codes.</t>
  </si>
  <si>
    <t xml:space="preserve">Strong restraint on Kind 2, but incomplete exploration of Kind 1. Honest about the gap.</t>
  </si>
  <si>
    <t xml:space="preserve">Why is Alumnus missing from your registry?</t>
  </si>
  <si>
    <t xml:space="preserve">Said she stopped exploring after finding Student, Club and Ticket, and only saw the gap when PP3 failed.</t>
  </si>
  <si>
    <t xml:space="preserve">Good restraint on Kind 2; incomplete Kind 1 exploration, honestly reported. Ran fine on the no-Neo4j starter and her own LLM provider.</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</si>
</sst>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sz val="10"/>
      <color rgb="FF595959"/>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s>
  <fills count="5">
    <fill>
      <patternFill patternType="none"/>
    </fill>
    <fill>
      <patternFill patternType="gray125"/>
    </fill>
    <fill>
      <patternFill patternType="solid">
        <fgColor rgb="FF2F5496"/>
        <bgColor rgb="FF595959"/>
      </patternFill>
    </fill>
    <fill>
      <patternFill patternType="solid">
        <fgColor rgb="FFFFFF00"/>
        <bgColor rgb="FFFFFF00"/>
      </patternFill>
    </fill>
    <fill>
      <patternFill patternType="solid">
        <fgColor rgb="FFE2EFDA"/>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10" fillId="3" borderId="1" xfId="0" applyFont="true" applyBorder="true" applyAlignment="true" applyProtection="false">
      <alignment horizontal="general" vertical="top"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5" fontId="9" fillId="4" borderId="1" xfId="0" applyFont="true" applyBorder="true" applyAlignment="true" applyProtection="false">
      <alignment horizontal="general" vertical="top"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7.35" hidden="false" customHeight="false" outlineLevel="0" collapsed="false">
      <c r="A1" s="1" t="s">
        <v>0</v>
      </c>
    </row>
    <row r="2" customFormat="false" ht="15" hidden="false" customHeight="false" outlineLevel="0" collapsed="false">
      <c r="A2" s="2"/>
    </row>
    <row r="3" customFormat="false" ht="26.8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2" t="s">
        <v>2</v>
      </c>
    </row>
    <row r="6" customFormat="false" ht="15" hidden="false" customHeight="false" outlineLevel="0" collapsed="false">
      <c r="A6" s="2"/>
    </row>
    <row r="7" customFormat="false" ht="15" hidden="false" customHeight="false" outlineLevel="0" collapsed="false">
      <c r="A7" s="3" t="s">
        <v>3</v>
      </c>
    </row>
    <row r="8" customFormat="false" ht="26.85" hidden="false" customHeight="false" outlineLevel="0" collapsed="false">
      <c r="A8" s="2" t="s">
        <v>4</v>
      </c>
    </row>
    <row r="9" customFormat="false" ht="26.85" hidden="false" customHeight="false" outlineLevel="0" collapsed="false">
      <c r="A9" s="2" t="s">
        <v>5</v>
      </c>
    </row>
    <row r="10" customFormat="false" ht="39.55" hidden="false" customHeight="false" outlineLevel="0" collapsed="false">
      <c r="A10" s="2" t="s">
        <v>6</v>
      </c>
    </row>
    <row r="11" customFormat="false" ht="39.55" hidden="false" customHeight="false" outlineLevel="0" collapsed="false">
      <c r="A11" s="2" t="s">
        <v>7</v>
      </c>
    </row>
    <row r="12" customFormat="false" ht="15" hidden="false" customHeight="false" outlineLevel="0" collapsed="false">
      <c r="A12" s="2" t="s">
        <v>8</v>
      </c>
    </row>
    <row r="13" customFormat="false" ht="26.85" hidden="false" customHeight="false" outlineLevel="0" collapsed="false">
      <c r="A13" s="2" t="s">
        <v>9</v>
      </c>
    </row>
    <row r="14" customFormat="false" ht="15" hidden="false" customHeight="false" outlineLevel="0" collapsed="false">
      <c r="A14" s="2" t="s">
        <v>10</v>
      </c>
    </row>
    <row r="15" customFormat="false" ht="15" hidden="false" customHeight="false" outlineLevel="0" collapsed="false">
      <c r="A15" s="2"/>
    </row>
    <row r="16" customFormat="false" ht="26.85" hidden="false" customHeight="false" outlineLevel="0" collapsed="false">
      <c r="A16" s="3" t="s">
        <v>11</v>
      </c>
    </row>
    <row r="17" customFormat="false" ht="39.55" hidden="false" customHeight="false" outlineLevel="0" collapsed="false">
      <c r="A17" s="2" t="s">
        <v>12</v>
      </c>
    </row>
    <row r="18" customFormat="false" ht="26.85" hidden="false" customHeight="false" outlineLevel="0" collapsed="false">
      <c r="A18" s="2" t="s">
        <v>13</v>
      </c>
    </row>
    <row r="19" customFormat="false" ht="39.55" hidden="false" customHeight="false" outlineLevel="0" collapsed="false">
      <c r="A19" s="2" t="s">
        <v>14</v>
      </c>
    </row>
    <row r="20" customFormat="false" ht="26.85" hidden="false" customHeight="false" outlineLevel="0" collapsed="false">
      <c r="A20" s="2" t="s">
        <v>15</v>
      </c>
    </row>
    <row r="21" customFormat="false" ht="15" hidden="false" customHeight="false" outlineLevel="0" collapsed="false">
      <c r="A21" s="2" t="s">
        <v>16</v>
      </c>
    </row>
    <row r="22" customFormat="false" ht="15" hidden="false" customHeight="false" outlineLevel="0" collapsed="false">
      <c r="A22" s="2"/>
    </row>
    <row r="23" customFormat="false" ht="15" hidden="false" customHeight="false" outlineLevel="0" collapsed="false">
      <c r="A23" s="3" t="s">
        <v>17</v>
      </c>
    </row>
    <row r="24" customFormat="false" ht="26.85" hidden="false" customHeight="false" outlineLevel="0" collapsed="false">
      <c r="A24" s="2" t="s">
        <v>18</v>
      </c>
    </row>
    <row r="25" customFormat="false" ht="26.85" hidden="false" customHeight="false" outlineLevel="0" collapsed="false">
      <c r="A25" s="2" t="s">
        <v>19</v>
      </c>
    </row>
    <row r="26" customFormat="false" ht="15" hidden="false" customHeight="false" outlineLevel="0" collapsed="false">
      <c r="A26" s="2" t="s">
        <v>20</v>
      </c>
    </row>
    <row r="27" customFormat="false" ht="15" hidden="false" customHeight="false" outlineLevel="0" collapsed="false">
      <c r="A27" s="2"/>
    </row>
    <row r="28" customFormat="false" ht="15" hidden="false" customHeight="false" outlineLevel="0" collapsed="false">
      <c r="A28" s="2" t="s">
        <v>21</v>
      </c>
    </row>
    <row r="29" customFormat="false" ht="26.85" hidden="false" customHeight="false" outlineLevel="0" collapsed="false">
      <c r="A29" s="2" t="s">
        <v>22</v>
      </c>
    </row>
    <row r="30" customFormat="false" ht="15" hidden="false" customHeight="false" outlineLevel="0" collapsed="false">
      <c r="A30" s="2"/>
    </row>
    <row r="31" customFormat="false" ht="26.85" hidden="false" customHeight="false" outlineLevel="0" collapsed="false">
      <c r="A31" s="3" t="s">
        <v>23</v>
      </c>
    </row>
    <row r="32" customFormat="false" ht="15" hidden="false" customHeight="false" outlineLevel="0" collapsed="false">
      <c r="A32" s="2"/>
    </row>
    <row r="33" customFormat="false" ht="26.85" hidden="false" customHeight="false" outlineLevel="0" collapsed="false">
      <c r="A33" s="2"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34"/>
    <col collapsed="false" customWidth="true" hidden="false" outlineLevel="0" max="4" min="4" style="0" width="14"/>
    <col collapsed="false" customWidth="true" hidden="false" outlineLevel="0" max="5" min="5" style="0" width="12"/>
    <col collapsed="false" customWidth="true" hidden="false" outlineLevel="0" max="14" min="6" style="0" width="6"/>
    <col collapsed="false" customWidth="true" hidden="false" outlineLevel="0" max="15" min="15" style="0" width="14"/>
    <col collapsed="false" customWidth="true" hidden="false" outlineLevel="0" max="19" min="16" style="0" width="6"/>
    <col collapsed="false" customWidth="true" hidden="false" outlineLevel="0" max="20" min="20" style="0" width="13"/>
    <col collapsed="false" customWidth="true" hidden="false" outlineLevel="0" max="21" min="21" style="0" width="18"/>
    <col collapsed="false" customWidth="true" hidden="false" outlineLevel="0" max="22" min="22" style="0" width="70"/>
  </cols>
  <sheetData>
    <row r="1" customFormat="false" ht="17.35" hidden="false" customHeight="false" outlineLevel="0" collapsed="false">
      <c r="A1" s="4" t="s">
        <v>25</v>
      </c>
      <c r="B1" s="4"/>
      <c r="C1" s="4"/>
      <c r="D1" s="4"/>
      <c r="E1" s="4"/>
      <c r="F1" s="4"/>
      <c r="G1" s="4"/>
      <c r="H1" s="4"/>
      <c r="I1" s="4"/>
      <c r="J1" s="4"/>
      <c r="K1" s="4"/>
      <c r="L1" s="4"/>
      <c r="M1" s="4"/>
      <c r="N1" s="4"/>
      <c r="O1" s="4"/>
      <c r="P1" s="4"/>
      <c r="Q1" s="4"/>
      <c r="R1" s="4"/>
      <c r="S1" s="4"/>
      <c r="T1" s="4"/>
      <c r="U1" s="4"/>
      <c r="V1" s="4"/>
    </row>
    <row r="2" customFormat="false" ht="42" hidden="false" customHeight="true" outlineLevel="0" collapsed="false">
      <c r="A2" s="5" t="s">
        <v>26</v>
      </c>
      <c r="B2" s="5"/>
      <c r="C2" s="5"/>
      <c r="D2" s="5"/>
      <c r="E2" s="5"/>
      <c r="F2" s="5"/>
      <c r="G2" s="5"/>
      <c r="H2" s="5"/>
      <c r="I2" s="5"/>
      <c r="J2" s="5"/>
      <c r="K2" s="5"/>
      <c r="L2" s="5"/>
      <c r="M2" s="5"/>
      <c r="N2" s="5"/>
      <c r="O2" s="5"/>
      <c r="P2" s="5"/>
      <c r="Q2" s="5"/>
      <c r="R2" s="5"/>
      <c r="S2" s="5"/>
      <c r="T2" s="5"/>
      <c r="U2" s="5"/>
      <c r="V2" s="5"/>
    </row>
    <row r="4" customFormat="false" ht="48" hidden="false" customHeight="true" outlineLevel="0" collapsed="false">
      <c r="A4" s="6" t="s">
        <v>27</v>
      </c>
      <c r="B4" s="6" t="s">
        <v>28</v>
      </c>
      <c r="C4" s="6" t="s">
        <v>29</v>
      </c>
      <c r="D4" s="6" t="s">
        <v>30</v>
      </c>
      <c r="E4" s="6" t="s">
        <v>31</v>
      </c>
      <c r="F4" s="6" t="s">
        <v>32</v>
      </c>
      <c r="G4" s="6" t="s">
        <v>33</v>
      </c>
      <c r="H4" s="6" t="s">
        <v>34</v>
      </c>
      <c r="I4" s="6" t="s">
        <v>35</v>
      </c>
      <c r="J4" s="6" t="s">
        <v>36</v>
      </c>
      <c r="K4" s="6" t="s">
        <v>37</v>
      </c>
      <c r="L4" s="6" t="s">
        <v>38</v>
      </c>
      <c r="M4" s="6" t="s">
        <v>39</v>
      </c>
      <c r="N4" s="6" t="s">
        <v>40</v>
      </c>
      <c r="O4" s="6" t="s">
        <v>41</v>
      </c>
      <c r="P4" s="6" t="s">
        <v>42</v>
      </c>
      <c r="Q4" s="6" t="s">
        <v>43</v>
      </c>
      <c r="R4" s="6" t="s">
        <v>44</v>
      </c>
      <c r="S4" s="6" t="s">
        <v>45</v>
      </c>
      <c r="T4" s="6" t="s">
        <v>46</v>
      </c>
      <c r="U4" s="6" t="s">
        <v>47</v>
      </c>
      <c r="V4" s="6" t="s">
        <v>48</v>
      </c>
    </row>
    <row r="5" customFormat="false" ht="61.5" hidden="false" customHeight="true" outlineLevel="0" collapsed="false">
      <c r="A5" s="7" t="n">
        <v>1</v>
      </c>
      <c r="B5" s="8" t="s">
        <v>49</v>
      </c>
      <c r="C5" s="9" t="s">
        <v>50</v>
      </c>
      <c r="D5" s="8" t="n">
        <v>3</v>
      </c>
      <c r="E5" s="8" t="n">
        <v>0</v>
      </c>
      <c r="F5" s="8" t="n">
        <v>1</v>
      </c>
      <c r="G5" s="8" t="n">
        <v>1</v>
      </c>
      <c r="H5" s="8" t="n">
        <v>1</v>
      </c>
      <c r="I5" s="8" t="n">
        <v>1</v>
      </c>
      <c r="J5" s="8" t="n">
        <v>1</v>
      </c>
      <c r="K5" s="8" t="n">
        <v>1</v>
      </c>
      <c r="L5" s="8" t="n">
        <v>1</v>
      </c>
      <c r="M5" s="8" t="n">
        <v>1</v>
      </c>
      <c r="N5" s="8" t="n">
        <v>1</v>
      </c>
      <c r="O5" s="10" t="n">
        <f aca="false">IFERROR(AVERAGE(F5:N5)*100,"")</f>
        <v>100</v>
      </c>
      <c r="P5" s="8" t="n">
        <v>1</v>
      </c>
      <c r="Q5" s="8" t="n">
        <v>1</v>
      </c>
      <c r="R5" s="8" t="n">
        <v>1</v>
      </c>
      <c r="S5" s="8" t="n">
        <v>1</v>
      </c>
      <c r="T5" s="10" t="n">
        <f aca="false">IFERROR(AVERAGE(P5:S5)*100,"")</f>
        <v>100</v>
      </c>
      <c r="U5" s="8" t="s">
        <v>51</v>
      </c>
      <c r="V5" s="9" t="s">
        <v>52</v>
      </c>
    </row>
    <row r="6" customFormat="false" ht="61.5" hidden="false" customHeight="true" outlineLevel="0" collapsed="false">
      <c r="A6" s="7" t="n">
        <v>2</v>
      </c>
      <c r="B6" s="8" t="s">
        <v>53</v>
      </c>
      <c r="C6" s="9" t="s">
        <v>54</v>
      </c>
      <c r="D6" s="8" t="n">
        <v>1</v>
      </c>
      <c r="E6" s="8" t="n">
        <v>4</v>
      </c>
      <c r="F6" s="8" t="n">
        <v>1</v>
      </c>
      <c r="G6" s="8" t="n">
        <v>1</v>
      </c>
      <c r="H6" s="8" t="n">
        <v>1</v>
      </c>
      <c r="I6" s="8" t="n">
        <v>1</v>
      </c>
      <c r="J6" s="8" t="n">
        <v>1</v>
      </c>
      <c r="K6" s="8" t="n">
        <v>1</v>
      </c>
      <c r="L6" s="8" t="n">
        <v>0</v>
      </c>
      <c r="M6" s="8" t="n">
        <v>0</v>
      </c>
      <c r="N6" s="8" t="n">
        <v>0</v>
      </c>
      <c r="O6" s="10" t="n">
        <f aca="false">IFERROR(AVERAGE(F6:N6)*100,"")</f>
        <v>66.6666666666667</v>
      </c>
      <c r="P6" s="8" t="n">
        <v>1</v>
      </c>
      <c r="Q6" s="8" t="n">
        <v>1</v>
      </c>
      <c r="R6" s="8" t="n">
        <v>0</v>
      </c>
      <c r="S6" s="8" t="n">
        <v>0</v>
      </c>
      <c r="T6" s="10" t="n">
        <f aca="false">IFERROR(AVERAGE(P6:S6)*100,"")</f>
        <v>50</v>
      </c>
      <c r="U6" s="8" t="s">
        <v>51</v>
      </c>
      <c r="V6" s="9" t="s">
        <v>55</v>
      </c>
    </row>
    <row r="7" customFormat="false" ht="61.5" hidden="false" customHeight="true" outlineLevel="0" collapsed="false">
      <c r="A7" s="7" t="n">
        <v>3</v>
      </c>
      <c r="B7" s="8" t="s">
        <v>56</v>
      </c>
      <c r="C7" s="9" t="s">
        <v>57</v>
      </c>
      <c r="D7" s="8" t="n">
        <v>1</v>
      </c>
      <c r="E7" s="8" t="n">
        <v>0</v>
      </c>
      <c r="F7" s="8" t="n">
        <v>1</v>
      </c>
      <c r="G7" s="8" t="n">
        <v>1</v>
      </c>
      <c r="H7" s="8" t="n">
        <v>1</v>
      </c>
      <c r="I7" s="8" t="n">
        <v>1</v>
      </c>
      <c r="J7" s="8" t="n">
        <v>1</v>
      </c>
      <c r="K7" s="8" t="n">
        <v>1</v>
      </c>
      <c r="L7" s="8" t="n">
        <v>1</v>
      </c>
      <c r="M7" s="8" t="n">
        <v>1</v>
      </c>
      <c r="N7" s="8" t="n">
        <v>1</v>
      </c>
      <c r="O7" s="10" t="n">
        <f aca="false">IFERROR(AVERAGE(F7:N7)*100,"")</f>
        <v>100</v>
      </c>
      <c r="P7" s="8" t="n">
        <v>0</v>
      </c>
      <c r="Q7" s="8" t="n">
        <v>1</v>
      </c>
      <c r="R7" s="8" t="n">
        <v>0</v>
      </c>
      <c r="S7" s="8" t="n">
        <v>1</v>
      </c>
      <c r="T7" s="10" t="n">
        <f aca="false">IFERROR(AVERAGE(P7:S7)*100,"")</f>
        <v>50</v>
      </c>
      <c r="U7" s="8" t="s">
        <v>51</v>
      </c>
      <c r="V7" s="9" t="s">
        <v>58</v>
      </c>
    </row>
    <row r="8" customFormat="false" ht="61.5" hidden="false" customHeight="true" outlineLevel="0" collapsed="false">
      <c r="A8" s="7" t="n">
        <v>4</v>
      </c>
      <c r="B8" s="8" t="s">
        <v>59</v>
      </c>
      <c r="C8" s="9" t="s">
        <v>60</v>
      </c>
      <c r="D8" s="8" t="n">
        <v>2</v>
      </c>
      <c r="E8" s="8" t="n">
        <v>0</v>
      </c>
      <c r="F8" s="8" t="n">
        <v>1</v>
      </c>
      <c r="G8" s="8" t="n">
        <v>1</v>
      </c>
      <c r="H8" s="8" t="n">
        <v>1</v>
      </c>
      <c r="I8" s="8" t="n">
        <v>1</v>
      </c>
      <c r="J8" s="8" t="n">
        <v>1</v>
      </c>
      <c r="K8" s="8" t="n">
        <v>1</v>
      </c>
      <c r="L8" s="8" t="n">
        <v>1</v>
      </c>
      <c r="M8" s="8" t="n">
        <v>1</v>
      </c>
      <c r="N8" s="8" t="n">
        <v>1</v>
      </c>
      <c r="O8" s="10" t="n">
        <f aca="false">IFERROR(AVERAGE(F8:N8)*100,"")</f>
        <v>100</v>
      </c>
      <c r="P8" s="8" t="n">
        <v>1</v>
      </c>
      <c r="Q8" s="8" t="n">
        <v>1</v>
      </c>
      <c r="R8" s="8" t="n">
        <v>1</v>
      </c>
      <c r="S8" s="8" t="n">
        <v>0</v>
      </c>
      <c r="T8" s="10" t="n">
        <f aca="false">IFERROR(AVERAGE(P8:S8)*100,"")</f>
        <v>75</v>
      </c>
      <c r="U8" s="8" t="s">
        <v>51</v>
      </c>
      <c r="V8" s="9" t="s">
        <v>61</v>
      </c>
    </row>
    <row r="9" customFormat="false" ht="15" hidden="false" customHeight="false" outlineLevel="0" collapsed="false">
      <c r="A9" s="7" t="n">
        <v>5</v>
      </c>
      <c r="B9" s="8"/>
      <c r="C9" s="9"/>
      <c r="D9" s="8"/>
      <c r="E9" s="8"/>
      <c r="F9" s="8"/>
      <c r="G9" s="8"/>
      <c r="H9" s="8"/>
      <c r="I9" s="8"/>
      <c r="J9" s="8"/>
      <c r="K9" s="8"/>
      <c r="L9" s="8"/>
      <c r="M9" s="8"/>
      <c r="N9" s="8"/>
      <c r="O9" s="10" t="str">
        <f aca="false">IFERROR(AVERAGE(F9:N9)*100,"")</f>
        <v/>
      </c>
      <c r="P9" s="8"/>
      <c r="Q9" s="8"/>
      <c r="R9" s="8"/>
      <c r="S9" s="8"/>
      <c r="T9" s="10" t="str">
        <f aca="false">IFERROR(AVERAGE(P9:S9)*100,"")</f>
        <v/>
      </c>
      <c r="U9" s="8"/>
      <c r="V9" s="9"/>
    </row>
    <row r="10" customFormat="false" ht="15" hidden="false" customHeight="false" outlineLevel="0" collapsed="false">
      <c r="A10" s="7" t="n">
        <v>6</v>
      </c>
      <c r="B10" s="8"/>
      <c r="C10" s="9"/>
      <c r="D10" s="8"/>
      <c r="E10" s="8"/>
      <c r="F10" s="8"/>
      <c r="G10" s="8"/>
      <c r="H10" s="8"/>
      <c r="I10" s="8"/>
      <c r="J10" s="8"/>
      <c r="K10" s="8"/>
      <c r="L10" s="8"/>
      <c r="M10" s="8"/>
      <c r="N10" s="8"/>
      <c r="O10" s="10" t="str">
        <f aca="false">IFERROR(AVERAGE(F10:N10)*100,"")</f>
        <v/>
      </c>
      <c r="P10" s="8"/>
      <c r="Q10" s="8"/>
      <c r="R10" s="8"/>
      <c r="S10" s="8"/>
      <c r="T10" s="10" t="str">
        <f aca="false">IFERROR(AVERAGE(P10:S10)*100,"")</f>
        <v/>
      </c>
      <c r="U10" s="8"/>
      <c r="V10" s="9"/>
    </row>
    <row r="11" customFormat="false" ht="15" hidden="false" customHeight="false" outlineLevel="0" collapsed="false">
      <c r="A11" s="7" t="n">
        <v>7</v>
      </c>
      <c r="B11" s="8"/>
      <c r="C11" s="9"/>
      <c r="D11" s="8"/>
      <c r="E11" s="8"/>
      <c r="F11" s="8"/>
      <c r="G11" s="8"/>
      <c r="H11" s="8"/>
      <c r="I11" s="8"/>
      <c r="J11" s="8"/>
      <c r="K11" s="8"/>
      <c r="L11" s="8"/>
      <c r="M11" s="8"/>
      <c r="N11" s="8"/>
      <c r="O11" s="10" t="str">
        <f aca="false">IFERROR(AVERAGE(F11:N11)*100,"")</f>
        <v/>
      </c>
      <c r="P11" s="8"/>
      <c r="Q11" s="8"/>
      <c r="R11" s="8"/>
      <c r="S11" s="8"/>
      <c r="T11" s="10" t="str">
        <f aca="false">IFERROR(AVERAGE(P11:S11)*100,"")</f>
        <v/>
      </c>
      <c r="U11" s="8"/>
      <c r="V11" s="9"/>
    </row>
    <row r="12" customFormat="false" ht="15" hidden="false" customHeight="false" outlineLevel="0" collapsed="false">
      <c r="A12" s="7" t="n">
        <v>8</v>
      </c>
      <c r="B12" s="8"/>
      <c r="C12" s="9"/>
      <c r="D12" s="8"/>
      <c r="E12" s="8"/>
      <c r="F12" s="8"/>
      <c r="G12" s="8"/>
      <c r="H12" s="8"/>
      <c r="I12" s="8"/>
      <c r="J12" s="8"/>
      <c r="K12" s="8"/>
      <c r="L12" s="8"/>
      <c r="M12" s="8"/>
      <c r="N12" s="8"/>
      <c r="O12" s="10" t="str">
        <f aca="false">IFERROR(AVERAGE(F12:N12)*100,"")</f>
        <v/>
      </c>
      <c r="P12" s="8"/>
      <c r="Q12" s="8"/>
      <c r="R12" s="8"/>
      <c r="S12" s="8"/>
      <c r="T12" s="10" t="str">
        <f aca="false">IFERROR(AVERAGE(P12:S12)*100,"")</f>
        <v/>
      </c>
      <c r="U12" s="8"/>
      <c r="V12" s="9"/>
    </row>
    <row r="13" customFormat="false" ht="15" hidden="false" customHeight="false" outlineLevel="0" collapsed="false">
      <c r="A13" s="7" t="n">
        <v>9</v>
      </c>
      <c r="B13" s="8"/>
      <c r="C13" s="9"/>
      <c r="D13" s="8"/>
      <c r="E13" s="8"/>
      <c r="F13" s="8"/>
      <c r="G13" s="8"/>
      <c r="H13" s="8"/>
      <c r="I13" s="8"/>
      <c r="J13" s="8"/>
      <c r="K13" s="8"/>
      <c r="L13" s="8"/>
      <c r="M13" s="8"/>
      <c r="N13" s="8"/>
      <c r="O13" s="10" t="str">
        <f aca="false">IFERROR(AVERAGE(F13:N13)*100,"")</f>
        <v/>
      </c>
      <c r="P13" s="8"/>
      <c r="Q13" s="8"/>
      <c r="R13" s="8"/>
      <c r="S13" s="8"/>
      <c r="T13" s="10" t="str">
        <f aca="false">IFERROR(AVERAGE(P13:S13)*100,"")</f>
        <v/>
      </c>
      <c r="U13" s="8"/>
      <c r="V13" s="9"/>
    </row>
    <row r="14" customFormat="false" ht="15" hidden="false" customHeight="false" outlineLevel="0" collapsed="false">
      <c r="A14" s="7" t="n">
        <v>10</v>
      </c>
      <c r="B14" s="8"/>
      <c r="C14" s="9"/>
      <c r="D14" s="8"/>
      <c r="E14" s="8"/>
      <c r="F14" s="8"/>
      <c r="G14" s="8"/>
      <c r="H14" s="8"/>
      <c r="I14" s="8"/>
      <c r="J14" s="8"/>
      <c r="K14" s="8"/>
      <c r="L14" s="8"/>
      <c r="M14" s="8"/>
      <c r="N14" s="8"/>
      <c r="O14" s="10" t="str">
        <f aca="false">IFERROR(AVERAGE(F14:N14)*100,"")</f>
        <v/>
      </c>
      <c r="P14" s="8"/>
      <c r="Q14" s="8"/>
      <c r="R14" s="8"/>
      <c r="S14" s="8"/>
      <c r="T14" s="10" t="str">
        <f aca="false">IFERROR(AVERAGE(P14:S14)*100,"")</f>
        <v/>
      </c>
      <c r="U14" s="8"/>
      <c r="V14" s="9"/>
    </row>
    <row r="15" customFormat="false" ht="15" hidden="false" customHeight="false" outlineLevel="0" collapsed="false">
      <c r="A15" s="7" t="n">
        <v>11</v>
      </c>
      <c r="B15" s="8"/>
      <c r="C15" s="9"/>
      <c r="D15" s="8"/>
      <c r="E15" s="8"/>
      <c r="F15" s="8"/>
      <c r="G15" s="8"/>
      <c r="H15" s="8"/>
      <c r="I15" s="8"/>
      <c r="J15" s="8"/>
      <c r="K15" s="8"/>
      <c r="L15" s="8"/>
      <c r="M15" s="8"/>
      <c r="N15" s="8"/>
      <c r="O15" s="10" t="str">
        <f aca="false">IFERROR(AVERAGE(F15:N15)*100,"")</f>
        <v/>
      </c>
      <c r="P15" s="8"/>
      <c r="Q15" s="8"/>
      <c r="R15" s="8"/>
      <c r="S15" s="8"/>
      <c r="T15" s="10" t="str">
        <f aca="false">IFERROR(AVERAGE(P15:S15)*100,"")</f>
        <v/>
      </c>
      <c r="U15" s="8"/>
      <c r="V15" s="9"/>
    </row>
    <row r="16" customFormat="false" ht="15" hidden="false" customHeight="false" outlineLevel="0" collapsed="false">
      <c r="A16" s="7" t="n">
        <v>12</v>
      </c>
      <c r="B16" s="8"/>
      <c r="C16" s="9"/>
      <c r="D16" s="8"/>
      <c r="E16" s="8"/>
      <c r="F16" s="8"/>
      <c r="G16" s="8"/>
      <c r="H16" s="8"/>
      <c r="I16" s="8"/>
      <c r="J16" s="8"/>
      <c r="K16" s="8"/>
      <c r="L16" s="8"/>
      <c r="M16" s="8"/>
      <c r="N16" s="8"/>
      <c r="O16" s="10" t="str">
        <f aca="false">IFERROR(AVERAGE(F16:N16)*100,"")</f>
        <v/>
      </c>
      <c r="P16" s="8"/>
      <c r="Q16" s="8"/>
      <c r="R16" s="8"/>
      <c r="S16" s="8"/>
      <c r="T16" s="10" t="str">
        <f aca="false">IFERROR(AVERAGE(P16:S16)*100,"")</f>
        <v/>
      </c>
      <c r="U16" s="8"/>
      <c r="V16" s="9"/>
    </row>
    <row r="17" customFormat="false" ht="15" hidden="false" customHeight="false" outlineLevel="0" collapsed="false">
      <c r="A17" s="7" t="n">
        <v>13</v>
      </c>
      <c r="B17" s="8"/>
      <c r="C17" s="9"/>
      <c r="D17" s="8"/>
      <c r="E17" s="8"/>
      <c r="F17" s="8"/>
      <c r="G17" s="8"/>
      <c r="H17" s="8"/>
      <c r="I17" s="8"/>
      <c r="J17" s="8"/>
      <c r="K17" s="8"/>
      <c r="L17" s="8"/>
      <c r="M17" s="8"/>
      <c r="N17" s="8"/>
      <c r="O17" s="10" t="str">
        <f aca="false">IFERROR(AVERAGE(F17:N17)*100,"")</f>
        <v/>
      </c>
      <c r="P17" s="8"/>
      <c r="Q17" s="8"/>
      <c r="R17" s="8"/>
      <c r="S17" s="8"/>
      <c r="T17" s="10" t="str">
        <f aca="false">IFERROR(AVERAGE(P17:S17)*100,"")</f>
        <v/>
      </c>
      <c r="U17" s="8"/>
      <c r="V17" s="9"/>
    </row>
    <row r="18" customFormat="false" ht="15" hidden="false" customHeight="false" outlineLevel="0" collapsed="false">
      <c r="A18" s="7" t="n">
        <v>14</v>
      </c>
      <c r="B18" s="8"/>
      <c r="C18" s="9"/>
      <c r="D18" s="8"/>
      <c r="E18" s="8"/>
      <c r="F18" s="8"/>
      <c r="G18" s="8"/>
      <c r="H18" s="8"/>
      <c r="I18" s="8"/>
      <c r="J18" s="8"/>
      <c r="K18" s="8"/>
      <c r="L18" s="8"/>
      <c r="M18" s="8"/>
      <c r="N18" s="8"/>
      <c r="O18" s="10" t="str">
        <f aca="false">IFERROR(AVERAGE(F18:N18)*100,"")</f>
        <v/>
      </c>
      <c r="P18" s="8"/>
      <c r="Q18" s="8"/>
      <c r="R18" s="8"/>
      <c r="S18" s="8"/>
      <c r="T18" s="10" t="str">
        <f aca="false">IFERROR(AVERAGE(P18:S18)*100,"")</f>
        <v/>
      </c>
      <c r="U18" s="8"/>
      <c r="V18" s="9"/>
    </row>
    <row r="19" customFormat="false" ht="15" hidden="false" customHeight="false" outlineLevel="0" collapsed="false">
      <c r="A19" s="7" t="n">
        <v>15</v>
      </c>
      <c r="B19" s="8"/>
      <c r="C19" s="9"/>
      <c r="D19" s="8"/>
      <c r="E19" s="8"/>
      <c r="F19" s="8"/>
      <c r="G19" s="8"/>
      <c r="H19" s="8"/>
      <c r="I19" s="8"/>
      <c r="J19" s="8"/>
      <c r="K19" s="8"/>
      <c r="L19" s="8"/>
      <c r="M19" s="8"/>
      <c r="N19" s="8"/>
      <c r="O19" s="10" t="str">
        <f aca="false">IFERROR(AVERAGE(F19:N19)*100,"")</f>
        <v/>
      </c>
      <c r="P19" s="8"/>
      <c r="Q19" s="8"/>
      <c r="R19" s="8"/>
      <c r="S19" s="8"/>
      <c r="T19" s="10" t="str">
        <f aca="false">IFERROR(AVERAGE(P19:S19)*100,"")</f>
        <v/>
      </c>
      <c r="U19" s="8"/>
      <c r="V19" s="9"/>
    </row>
  </sheetData>
  <mergeCells count="2">
    <mergeCell ref="A1:V1"/>
    <mergeCell ref="A2:V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6" min="3" style="0" width="14"/>
    <col collapsed="false" customWidth="true" hidden="false" outlineLevel="0" max="8" min="7" style="0" width="16"/>
  </cols>
  <sheetData>
    <row r="1" customFormat="false" ht="17.35" hidden="false" customHeight="false" outlineLevel="0" collapsed="false">
      <c r="A1" s="4" t="s">
        <v>62</v>
      </c>
      <c r="B1" s="4"/>
      <c r="C1" s="4"/>
      <c r="D1" s="4"/>
      <c r="E1" s="4"/>
      <c r="F1" s="4"/>
      <c r="G1" s="4"/>
      <c r="H1" s="4"/>
    </row>
    <row r="2" customFormat="false" ht="33.75" hidden="false" customHeight="true" outlineLevel="0" collapsed="false">
      <c r="A2" s="5" t="s">
        <v>63</v>
      </c>
      <c r="B2" s="5"/>
      <c r="C2" s="5"/>
      <c r="D2" s="5"/>
      <c r="E2" s="5"/>
      <c r="F2" s="5"/>
      <c r="G2" s="5"/>
      <c r="H2" s="5"/>
    </row>
    <row r="4" customFormat="false" ht="48" hidden="false" customHeight="true" outlineLevel="0" collapsed="false">
      <c r="A4" s="6" t="s">
        <v>27</v>
      </c>
      <c r="B4" s="6" t="s">
        <v>28</v>
      </c>
      <c r="C4" s="6" t="s">
        <v>64</v>
      </c>
      <c r="D4" s="6" t="s">
        <v>65</v>
      </c>
      <c r="E4" s="6" t="s">
        <v>66</v>
      </c>
      <c r="F4" s="6" t="s">
        <v>67</v>
      </c>
      <c r="G4" s="6" t="s">
        <v>68</v>
      </c>
      <c r="H4" s="6" t="s">
        <v>69</v>
      </c>
    </row>
    <row r="5" customFormat="false" ht="15" hidden="false" customHeight="false" outlineLevel="0" collapsed="false">
      <c r="A5" s="10" t="n">
        <f aca="false">'Batch Test Results'!A5</f>
        <v>1</v>
      </c>
      <c r="B5" s="10" t="str">
        <f aca="false">'Batch Test Results'!B5</f>
        <v>Ananya</v>
      </c>
      <c r="C5" s="10" t="n">
        <f aca="false">'Batch Test Results'!D5</f>
        <v>3</v>
      </c>
      <c r="D5" s="10" t="n">
        <f aca="false">'Batch Test Results'!E5</f>
        <v>0</v>
      </c>
      <c r="E5" s="10" t="n">
        <f aca="false">IF(B5="","",MIN(3,MAX(0,C5))/3*40)</f>
        <v>40</v>
      </c>
      <c r="F5" s="10" t="n">
        <f aca="false">IF(B5="","",MAX(0,30-10*D5))</f>
        <v>30</v>
      </c>
      <c r="G5" s="8" t="n">
        <v>28</v>
      </c>
      <c r="H5" s="10" t="n">
        <f aca="false">IF(OR(B5="",G5=""),"",E5+F5+G5)</f>
        <v>98</v>
      </c>
    </row>
    <row r="6" customFormat="false" ht="15" hidden="false" customHeight="false" outlineLevel="0" collapsed="false">
      <c r="A6" s="10" t="n">
        <f aca="false">'Batch Test Results'!A6</f>
        <v>2</v>
      </c>
      <c r="B6" s="10" t="str">
        <f aca="false">'Batch Test Results'!B6</f>
        <v>Rahul</v>
      </c>
      <c r="C6" s="10" t="n">
        <f aca="false">'Batch Test Results'!D6</f>
        <v>1</v>
      </c>
      <c r="D6" s="10" t="n">
        <f aca="false">'Batch Test Results'!E6</f>
        <v>4</v>
      </c>
      <c r="E6" s="10" t="n">
        <f aca="false">IF(B6="","",MIN(3,MAX(0,C6))/3*40)</f>
        <v>13.3333333333333</v>
      </c>
      <c r="F6" s="10" t="n">
        <f aca="false">IF(B6="","",MAX(0,30-10*D6))</f>
        <v>0</v>
      </c>
      <c r="G6" s="8" t="n">
        <v>10</v>
      </c>
      <c r="H6" s="10" t="n">
        <f aca="false">IF(OR(B6="",G6=""),"",E6+F6+G6)</f>
        <v>23.3333333333333</v>
      </c>
    </row>
    <row r="7" customFormat="false" ht="15" hidden="false" customHeight="false" outlineLevel="0" collapsed="false">
      <c r="A7" s="10" t="n">
        <f aca="false">'Batch Test Results'!A7</f>
        <v>3</v>
      </c>
      <c r="B7" s="10" t="str">
        <f aca="false">'Batch Test Results'!B7</f>
        <v>Priya</v>
      </c>
      <c r="C7" s="10" t="n">
        <f aca="false">'Batch Test Results'!D7</f>
        <v>1</v>
      </c>
      <c r="D7" s="10" t="n">
        <f aca="false">'Batch Test Results'!E7</f>
        <v>0</v>
      </c>
      <c r="E7" s="10" t="n">
        <f aca="false">IF(B7="","",MIN(3,MAX(0,C7))/3*40)</f>
        <v>13.3333333333333</v>
      </c>
      <c r="F7" s="10" t="n">
        <f aca="false">IF(B7="","",MAX(0,30-10*D7))</f>
        <v>30</v>
      </c>
      <c r="G7" s="8" t="n">
        <v>22</v>
      </c>
      <c r="H7" s="10" t="n">
        <f aca="false">IF(OR(B7="",G7=""),"",E7+F7+G7)</f>
        <v>65.3333333333333</v>
      </c>
    </row>
    <row r="8" customFormat="false" ht="15" hidden="false" customHeight="false" outlineLevel="0" collapsed="false">
      <c r="A8" s="10" t="n">
        <f aca="false">'Batch Test Results'!A8</f>
        <v>4</v>
      </c>
      <c r="B8" s="10" t="str">
        <f aca="false">'Batch Test Results'!B8</f>
        <v>Meera</v>
      </c>
      <c r="C8" s="10" t="n">
        <f aca="false">'Batch Test Results'!D8</f>
        <v>2</v>
      </c>
      <c r="D8" s="10" t="n">
        <f aca="false">'Batch Test Results'!E8</f>
        <v>0</v>
      </c>
      <c r="E8" s="10" t="n">
        <f aca="false">IF(B8="","",MIN(3,MAX(0,C8))/3*40)</f>
        <v>26.6666666666667</v>
      </c>
      <c r="F8" s="10" t="n">
        <f aca="false">IF(B8="","",MAX(0,30-10*D8))</f>
        <v>30</v>
      </c>
      <c r="G8" s="8" t="n">
        <v>26</v>
      </c>
      <c r="H8" s="10" t="n">
        <f aca="false">IF(OR(B8="",G8=""),"",E8+F8+G8)</f>
        <v>82.6666666666667</v>
      </c>
    </row>
    <row r="9" customFormat="false" ht="15" hidden="false" customHeight="false" outlineLevel="0" collapsed="false">
      <c r="A9" s="10" t="n">
        <f aca="false">'Batch Test Results'!A9</f>
        <v>5</v>
      </c>
      <c r="B9" s="10" t="n">
        <f aca="false">'Batch Test Results'!B9</f>
        <v>0</v>
      </c>
      <c r="C9" s="10" t="n">
        <f aca="false">'Batch Test Results'!D9</f>
        <v>0</v>
      </c>
      <c r="D9" s="10" t="n">
        <f aca="false">'Batch Test Results'!E9</f>
        <v>0</v>
      </c>
      <c r="E9" s="10" t="str">
        <f aca="false">IF(B9="","",MIN(3,MAX(0,C9))/3*40)</f>
        <v/>
      </c>
      <c r="F9" s="10" t="str">
        <f aca="false">IF(B9="","",MAX(0,30-10*D9))</f>
        <v/>
      </c>
      <c r="G9" s="8"/>
      <c r="H9" s="10" t="str">
        <f aca="false">IF(OR(B9="",G9=""),"",E9+F9+G9)</f>
        <v/>
      </c>
    </row>
    <row r="10" customFormat="false" ht="15" hidden="false" customHeight="false" outlineLevel="0" collapsed="false">
      <c r="A10" s="10" t="n">
        <f aca="false">'Batch Test Results'!A10</f>
        <v>6</v>
      </c>
      <c r="B10" s="10" t="n">
        <f aca="false">'Batch Test Results'!B10</f>
        <v>0</v>
      </c>
      <c r="C10" s="10" t="n">
        <f aca="false">'Batch Test Results'!D10</f>
        <v>0</v>
      </c>
      <c r="D10" s="10" t="n">
        <f aca="false">'Batch Test Results'!E10</f>
        <v>0</v>
      </c>
      <c r="E10" s="10" t="str">
        <f aca="false">IF(B10="","",MIN(3,MAX(0,C10))/3*40)</f>
        <v/>
      </c>
      <c r="F10" s="10" t="str">
        <f aca="false">IF(B10="","",MAX(0,30-10*D10))</f>
        <v/>
      </c>
      <c r="G10" s="8"/>
      <c r="H10" s="10" t="str">
        <f aca="false">IF(OR(B10="",G10=""),"",E10+F10+G10)</f>
        <v/>
      </c>
    </row>
    <row r="11" customFormat="false" ht="15" hidden="false" customHeight="false" outlineLevel="0" collapsed="false">
      <c r="A11" s="10" t="n">
        <f aca="false">'Batch Test Results'!A11</f>
        <v>7</v>
      </c>
      <c r="B11" s="10" t="n">
        <f aca="false">'Batch Test Results'!B11</f>
        <v>0</v>
      </c>
      <c r="C11" s="10" t="n">
        <f aca="false">'Batch Test Results'!D11</f>
        <v>0</v>
      </c>
      <c r="D11" s="10" t="n">
        <f aca="false">'Batch Test Results'!E11</f>
        <v>0</v>
      </c>
      <c r="E11" s="10" t="str">
        <f aca="false">IF(B11="","",MIN(3,MAX(0,C11))/3*40)</f>
        <v/>
      </c>
      <c r="F11" s="10" t="str">
        <f aca="false">IF(B11="","",MAX(0,30-10*D11))</f>
        <v/>
      </c>
      <c r="G11" s="8"/>
      <c r="H11" s="10" t="str">
        <f aca="false">IF(OR(B11="",G11=""),"",E11+F11+G11)</f>
        <v/>
      </c>
    </row>
    <row r="12" customFormat="false" ht="15" hidden="false" customHeight="false" outlineLevel="0" collapsed="false">
      <c r="A12" s="10" t="n">
        <f aca="false">'Batch Test Results'!A12</f>
        <v>8</v>
      </c>
      <c r="B12" s="10" t="n">
        <f aca="false">'Batch Test Results'!B12</f>
        <v>0</v>
      </c>
      <c r="C12" s="10" t="n">
        <f aca="false">'Batch Test Results'!D12</f>
        <v>0</v>
      </c>
      <c r="D12" s="10" t="n">
        <f aca="false">'Batch Test Results'!E12</f>
        <v>0</v>
      </c>
      <c r="E12" s="10" t="str">
        <f aca="false">IF(B12="","",MIN(3,MAX(0,C12))/3*40)</f>
        <v/>
      </c>
      <c r="F12" s="10" t="str">
        <f aca="false">IF(B12="","",MAX(0,30-10*D12))</f>
        <v/>
      </c>
      <c r="G12" s="8"/>
      <c r="H12" s="10" t="str">
        <f aca="false">IF(OR(B12="",G12=""),"",E12+F12+G12)</f>
        <v/>
      </c>
    </row>
    <row r="13" customFormat="false" ht="15" hidden="false" customHeight="false" outlineLevel="0" collapsed="false">
      <c r="A13" s="10" t="n">
        <f aca="false">'Batch Test Results'!A13</f>
        <v>9</v>
      </c>
      <c r="B13" s="10" t="n">
        <f aca="false">'Batch Test Results'!B13</f>
        <v>0</v>
      </c>
      <c r="C13" s="10" t="n">
        <f aca="false">'Batch Test Results'!D13</f>
        <v>0</v>
      </c>
      <c r="D13" s="10" t="n">
        <f aca="false">'Batch Test Results'!E13</f>
        <v>0</v>
      </c>
      <c r="E13" s="10" t="str">
        <f aca="false">IF(B13="","",MIN(3,MAX(0,C13))/3*40)</f>
        <v/>
      </c>
      <c r="F13" s="10" t="str">
        <f aca="false">IF(B13="","",MAX(0,30-10*D13))</f>
        <v/>
      </c>
      <c r="G13" s="8"/>
      <c r="H13" s="10" t="str">
        <f aca="false">IF(OR(B13="",G13=""),"",E13+F13+G13)</f>
        <v/>
      </c>
    </row>
    <row r="14" customFormat="false" ht="15" hidden="false" customHeight="false" outlineLevel="0" collapsed="false">
      <c r="A14" s="10" t="n">
        <f aca="false">'Batch Test Results'!A14</f>
        <v>10</v>
      </c>
      <c r="B14" s="10" t="n">
        <f aca="false">'Batch Test Results'!B14</f>
        <v>0</v>
      </c>
      <c r="C14" s="10" t="n">
        <f aca="false">'Batch Test Results'!D14</f>
        <v>0</v>
      </c>
      <c r="D14" s="10" t="n">
        <f aca="false">'Batch Test Results'!E14</f>
        <v>0</v>
      </c>
      <c r="E14" s="10" t="str">
        <f aca="false">IF(B14="","",MIN(3,MAX(0,C14))/3*40)</f>
        <v/>
      </c>
      <c r="F14" s="10" t="str">
        <f aca="false">IF(B14="","",MAX(0,30-10*D14))</f>
        <v/>
      </c>
      <c r="G14" s="8"/>
      <c r="H14" s="10" t="str">
        <f aca="false">IF(OR(B14="",G14=""),"",E14+F14+G14)</f>
        <v/>
      </c>
    </row>
    <row r="15" customFormat="false" ht="15" hidden="false" customHeight="false" outlineLevel="0" collapsed="false">
      <c r="A15" s="10" t="n">
        <f aca="false">'Batch Test Results'!A15</f>
        <v>11</v>
      </c>
      <c r="B15" s="10" t="n">
        <f aca="false">'Batch Test Results'!B15</f>
        <v>0</v>
      </c>
      <c r="C15" s="10" t="n">
        <f aca="false">'Batch Test Results'!D15</f>
        <v>0</v>
      </c>
      <c r="D15" s="10" t="n">
        <f aca="false">'Batch Test Results'!E15</f>
        <v>0</v>
      </c>
      <c r="E15" s="10" t="str">
        <f aca="false">IF(B15="","",MIN(3,MAX(0,C15))/3*40)</f>
        <v/>
      </c>
      <c r="F15" s="10" t="str">
        <f aca="false">IF(B15="","",MAX(0,30-10*D15))</f>
        <v/>
      </c>
      <c r="G15" s="8"/>
      <c r="H15" s="10" t="str">
        <f aca="false">IF(OR(B15="",G15=""),"",E15+F15+G15)</f>
        <v/>
      </c>
    </row>
    <row r="16" customFormat="false" ht="15" hidden="false" customHeight="false" outlineLevel="0" collapsed="false">
      <c r="A16" s="10" t="n">
        <f aca="false">'Batch Test Results'!A16</f>
        <v>12</v>
      </c>
      <c r="B16" s="10" t="n">
        <f aca="false">'Batch Test Results'!B16</f>
        <v>0</v>
      </c>
      <c r="C16" s="10" t="n">
        <f aca="false">'Batch Test Results'!D16</f>
        <v>0</v>
      </c>
      <c r="D16" s="10" t="n">
        <f aca="false">'Batch Test Results'!E16</f>
        <v>0</v>
      </c>
      <c r="E16" s="10" t="str">
        <f aca="false">IF(B16="","",MIN(3,MAX(0,C16))/3*40)</f>
        <v/>
      </c>
      <c r="F16" s="10" t="str">
        <f aca="false">IF(B16="","",MAX(0,30-10*D16))</f>
        <v/>
      </c>
      <c r="G16" s="8"/>
      <c r="H16" s="10" t="str">
        <f aca="false">IF(OR(B16="",G16=""),"",E16+F16+G16)</f>
        <v/>
      </c>
    </row>
    <row r="17" customFormat="false" ht="15" hidden="false" customHeight="false" outlineLevel="0" collapsed="false">
      <c r="A17" s="10" t="n">
        <f aca="false">'Batch Test Results'!A17</f>
        <v>13</v>
      </c>
      <c r="B17" s="10" t="n">
        <f aca="false">'Batch Test Results'!B17</f>
        <v>0</v>
      </c>
      <c r="C17" s="10" t="n">
        <f aca="false">'Batch Test Results'!D17</f>
        <v>0</v>
      </c>
      <c r="D17" s="10" t="n">
        <f aca="false">'Batch Test Results'!E17</f>
        <v>0</v>
      </c>
      <c r="E17" s="10" t="str">
        <f aca="false">IF(B17="","",MIN(3,MAX(0,C17))/3*40)</f>
        <v/>
      </c>
      <c r="F17" s="10" t="str">
        <f aca="false">IF(B17="","",MAX(0,30-10*D17))</f>
        <v/>
      </c>
      <c r="G17" s="8"/>
      <c r="H17" s="10" t="str">
        <f aca="false">IF(OR(B17="",G17=""),"",E17+F17+G17)</f>
        <v/>
      </c>
    </row>
    <row r="18" customFormat="false" ht="15" hidden="false" customHeight="false" outlineLevel="0" collapsed="false">
      <c r="A18" s="10" t="n">
        <f aca="false">'Batch Test Results'!A18</f>
        <v>14</v>
      </c>
      <c r="B18" s="10" t="n">
        <f aca="false">'Batch Test Results'!B18</f>
        <v>0</v>
      </c>
      <c r="C18" s="10" t="n">
        <f aca="false">'Batch Test Results'!D18</f>
        <v>0</v>
      </c>
      <c r="D18" s="10" t="n">
        <f aca="false">'Batch Test Results'!E18</f>
        <v>0</v>
      </c>
      <c r="E18" s="10" t="str">
        <f aca="false">IF(B18="","",MIN(3,MAX(0,C18))/3*40)</f>
        <v/>
      </c>
      <c r="F18" s="10" t="str">
        <f aca="false">IF(B18="","",MAX(0,30-10*D18))</f>
        <v/>
      </c>
      <c r="G18" s="8"/>
      <c r="H18" s="10" t="str">
        <f aca="false">IF(OR(B18="",G18=""),"",E18+F18+G18)</f>
        <v/>
      </c>
    </row>
    <row r="19" customFormat="false" ht="15" hidden="false" customHeight="false" outlineLevel="0" collapsed="false">
      <c r="A19" s="10" t="n">
        <f aca="false">'Batch Test Results'!A19</f>
        <v>15</v>
      </c>
      <c r="B19" s="10" t="n">
        <f aca="false">'Batch Test Results'!B19</f>
        <v>0</v>
      </c>
      <c r="C19" s="10" t="n">
        <f aca="false">'Batch Test Results'!D19</f>
        <v>0</v>
      </c>
      <c r="D19" s="10" t="n">
        <f aca="false">'Batch Test Results'!E19</f>
        <v>0</v>
      </c>
      <c r="E19" s="10" t="str">
        <f aca="false">IF(B19="","",MIN(3,MAX(0,C19))/3*40)</f>
        <v/>
      </c>
      <c r="F19" s="10" t="str">
        <f aca="false">IF(B19="","",MAX(0,30-10*D19))</f>
        <v/>
      </c>
      <c r="G19" s="8"/>
      <c r="H19" s="10" t="str">
        <f aca="false">IF(OR(B19="",G19=""),"",E19+F19+G19)</f>
        <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14"/>
    <col collapsed="false" customWidth="true" hidden="false" outlineLevel="0" max="5" min="4" style="0" width="13"/>
    <col collapsed="false" customWidth="true" hidden="false" outlineLevel="0" max="6" min="6" style="0" width="14"/>
    <col collapsed="false" customWidth="true" hidden="false" outlineLevel="0" max="8" min="7" style="0" width="13"/>
    <col collapsed="false" customWidth="true" hidden="false" outlineLevel="0" max="9" min="9" style="0" width="12"/>
    <col collapsed="false" customWidth="true" hidden="false" outlineLevel="0" max="10" min="10" style="0" width="7"/>
    <col collapsed="false" customWidth="true" hidden="false" outlineLevel="0" max="12" min="11" style="0" width="38"/>
    <col collapsed="false" customWidth="true" hidden="false" outlineLevel="0" max="13" min="13" style="0" width="55"/>
    <col collapsed="false" customWidth="true" hidden="false" outlineLevel="0" max="14" min="14" style="0" width="18"/>
  </cols>
  <sheetData>
    <row r="1" customFormat="false" ht="17.35" hidden="false" customHeight="false" outlineLevel="0" collapsed="false">
      <c r="A1" s="4" t="s">
        <v>70</v>
      </c>
      <c r="B1" s="4"/>
      <c r="C1" s="4"/>
      <c r="D1" s="4"/>
      <c r="E1" s="4"/>
      <c r="F1" s="4"/>
      <c r="G1" s="4"/>
      <c r="H1" s="4"/>
      <c r="I1" s="4"/>
      <c r="J1" s="4"/>
      <c r="K1" s="4"/>
      <c r="L1" s="4"/>
      <c r="M1" s="4"/>
      <c r="N1" s="4"/>
      <c r="O1" s="4"/>
    </row>
    <row r="2" customFormat="false" ht="15" hidden="false" customHeight="false" outlineLevel="0" collapsed="false">
      <c r="A2" s="11" t="s">
        <v>71</v>
      </c>
      <c r="B2" s="11"/>
      <c r="C2" s="11"/>
      <c r="D2" s="11"/>
      <c r="E2" s="11"/>
      <c r="F2" s="11"/>
      <c r="G2" s="11"/>
      <c r="H2" s="11"/>
      <c r="I2" s="11"/>
      <c r="J2" s="11"/>
      <c r="K2" s="11"/>
      <c r="L2" s="11"/>
      <c r="M2" s="11"/>
      <c r="N2" s="11"/>
      <c r="O2" s="11"/>
    </row>
    <row r="4" customFormat="false" ht="15" hidden="false" customHeight="false" outlineLevel="0" collapsed="false">
      <c r="A4" s="12" t="s">
        <v>72</v>
      </c>
      <c r="B4" s="12"/>
      <c r="C4" s="12"/>
      <c r="D4" s="12"/>
      <c r="E4" s="12"/>
      <c r="F4" s="12"/>
      <c r="G4" s="12"/>
      <c r="H4" s="12"/>
      <c r="I4" s="12"/>
      <c r="J4" s="12"/>
      <c r="K4" s="12"/>
      <c r="L4" s="12"/>
      <c r="M4" s="12"/>
      <c r="N4" s="12"/>
      <c r="O4" s="12"/>
    </row>
    <row r="6" customFormat="false" ht="48" hidden="false" customHeight="true" outlineLevel="0" collapsed="false">
      <c r="A6" s="6" t="s">
        <v>27</v>
      </c>
      <c r="B6" s="6" t="s">
        <v>28</v>
      </c>
      <c r="C6" s="6" t="s">
        <v>73</v>
      </c>
      <c r="D6" s="6" t="s">
        <v>74</v>
      </c>
      <c r="E6" s="6" t="s">
        <v>75</v>
      </c>
      <c r="F6" s="6" t="s">
        <v>76</v>
      </c>
      <c r="G6" s="6" t="s">
        <v>77</v>
      </c>
      <c r="H6" s="6" t="s">
        <v>78</v>
      </c>
      <c r="I6" s="6" t="s">
        <v>79</v>
      </c>
      <c r="J6" s="6" t="s">
        <v>80</v>
      </c>
      <c r="K6" s="6" t="s">
        <v>81</v>
      </c>
      <c r="L6" s="6" t="s">
        <v>82</v>
      </c>
      <c r="M6" s="6" t="s">
        <v>83</v>
      </c>
      <c r="N6" s="6" t="s">
        <v>47</v>
      </c>
    </row>
    <row r="7" customFormat="false" ht="61.5" hidden="false" customHeight="true" outlineLevel="0" collapsed="false">
      <c r="A7" s="10" t="n">
        <f aca="false">'Batch Test Results'!A5</f>
        <v>1</v>
      </c>
      <c r="B7" s="10" t="str">
        <f aca="false">'Batch Test Results'!B5</f>
        <v>Ananya</v>
      </c>
      <c r="C7" s="10" t="n">
        <f aca="false">IFERROR('Batch Test Results'!O5,"")</f>
        <v>100</v>
      </c>
      <c r="D7" s="10" t="n">
        <f aca="false">IFERROR('Batch Test Results'!T5,"")</f>
        <v>100</v>
      </c>
      <c r="E7" s="10" t="n">
        <f aca="false">IFERROR('Pattern Score'!H5,"")</f>
        <v>98</v>
      </c>
      <c r="F7" s="8" t="n">
        <v>95</v>
      </c>
      <c r="G7" s="8" t="n">
        <v>100</v>
      </c>
      <c r="H7" s="8" t="n">
        <v>90</v>
      </c>
      <c r="I7" s="10" t="n">
        <f aca="false">IF(B7="","",IFERROR(C7,0)*0.3+IFERROR(D7,0)*0.2+IFERROR(E7,0)*0.2+IFERROR(F7,0)*0.2+IFERROR(G7,0)*0.05+IFERROR(H7,0)*0.05)</f>
        <v>98.1</v>
      </c>
      <c r="J7" s="10" t="n">
        <f aca="false">IF(I7="","",RANK(I7,$I$7:$I$21,0))</f>
        <v>1</v>
      </c>
      <c r="K7" s="9" t="s">
        <v>84</v>
      </c>
      <c r="L7" s="9" t="s">
        <v>85</v>
      </c>
      <c r="M7" s="9" t="s">
        <v>86</v>
      </c>
      <c r="N7" s="8" t="s">
        <v>51</v>
      </c>
    </row>
    <row r="8" customFormat="false" ht="61.5" hidden="false" customHeight="true" outlineLevel="0" collapsed="false">
      <c r="A8" s="10" t="n">
        <f aca="false">'Batch Test Results'!A6</f>
        <v>2</v>
      </c>
      <c r="B8" s="10" t="str">
        <f aca="false">'Batch Test Results'!B6</f>
        <v>Rahul</v>
      </c>
      <c r="C8" s="10" t="n">
        <f aca="false">IFERROR('Batch Test Results'!O6,"")</f>
        <v>66.6666666666667</v>
      </c>
      <c r="D8" s="10" t="n">
        <f aca="false">IFERROR('Batch Test Results'!T6,"")</f>
        <v>50</v>
      </c>
      <c r="E8" s="10" t="n">
        <f aca="false">IFERROR('Pattern Score'!H6,"")</f>
        <v>23.3333333333333</v>
      </c>
      <c r="F8" s="8" t="n">
        <v>30</v>
      </c>
      <c r="G8" s="8" t="n">
        <v>100</v>
      </c>
      <c r="H8" s="8" t="n">
        <v>55</v>
      </c>
      <c r="I8" s="10" t="n">
        <f aca="false">IF(B8="","",IFERROR(C8,0)*0.3+IFERROR(D8,0)*0.2+IFERROR(E8,0)*0.2+IFERROR(F8,0)*0.2+IFERROR(G8,0)*0.05+IFERROR(H8,0)*0.05)</f>
        <v>48.4166666666667</v>
      </c>
      <c r="J8" s="10" t="n">
        <f aca="false">IF(I8="","",RANK(I8,$I$7:$I$21,0))</f>
        <v>4</v>
      </c>
      <c r="K8" s="9" t="s">
        <v>87</v>
      </c>
      <c r="L8" s="9" t="s">
        <v>88</v>
      </c>
      <c r="M8" s="9" t="s">
        <v>89</v>
      </c>
      <c r="N8" s="8" t="s">
        <v>51</v>
      </c>
    </row>
    <row r="9" customFormat="false" ht="61.5" hidden="false" customHeight="true" outlineLevel="0" collapsed="false">
      <c r="A9" s="10" t="n">
        <f aca="false">'Batch Test Results'!A7</f>
        <v>3</v>
      </c>
      <c r="B9" s="10" t="str">
        <f aca="false">'Batch Test Results'!B7</f>
        <v>Priya</v>
      </c>
      <c r="C9" s="10" t="n">
        <f aca="false">IFERROR('Batch Test Results'!O7,"")</f>
        <v>100</v>
      </c>
      <c r="D9" s="10" t="n">
        <f aca="false">IFERROR('Batch Test Results'!T7,"")</f>
        <v>50</v>
      </c>
      <c r="E9" s="10" t="n">
        <f aca="false">IFERROR('Pattern Score'!H7,"")</f>
        <v>65.3333333333333</v>
      </c>
      <c r="F9" s="8" t="n">
        <v>75</v>
      </c>
      <c r="G9" s="8" t="n">
        <v>100</v>
      </c>
      <c r="H9" s="8" t="n">
        <v>75</v>
      </c>
      <c r="I9" s="10" t="n">
        <f aca="false">IF(B9="","",IFERROR(C9,0)*0.3+IFERROR(D9,0)*0.2+IFERROR(E9,0)*0.2+IFERROR(F9,0)*0.2+IFERROR(G9,0)*0.05+IFERROR(H9,0)*0.05)</f>
        <v>76.8166666666667</v>
      </c>
      <c r="J9" s="10" t="n">
        <f aca="false">IF(I9="","",RANK(I9,$I$7:$I$21,0))</f>
        <v>3</v>
      </c>
      <c r="K9" s="9" t="s">
        <v>90</v>
      </c>
      <c r="L9" s="9" t="s">
        <v>91</v>
      </c>
      <c r="M9" s="9" t="s">
        <v>92</v>
      </c>
      <c r="N9" s="8" t="s">
        <v>51</v>
      </c>
    </row>
    <row r="10" customFormat="false" ht="61.5" hidden="false" customHeight="true" outlineLevel="0" collapsed="false">
      <c r="A10" s="10" t="n">
        <f aca="false">'Batch Test Results'!A8</f>
        <v>4</v>
      </c>
      <c r="B10" s="10" t="str">
        <f aca="false">'Batch Test Results'!B8</f>
        <v>Meera</v>
      </c>
      <c r="C10" s="10" t="n">
        <f aca="false">IFERROR('Batch Test Results'!O8,"")</f>
        <v>100</v>
      </c>
      <c r="D10" s="10" t="n">
        <f aca="false">IFERROR('Batch Test Results'!T8,"")</f>
        <v>75</v>
      </c>
      <c r="E10" s="10" t="n">
        <f aca="false">IFERROR('Pattern Score'!H8,"")</f>
        <v>82.6666666666667</v>
      </c>
      <c r="F10" s="8" t="n">
        <v>85</v>
      </c>
      <c r="G10" s="8" t="n">
        <v>100</v>
      </c>
      <c r="H10" s="8" t="n">
        <v>80</v>
      </c>
      <c r="I10" s="10" t="n">
        <f aca="false">IF(B10="","",IFERROR(C10,0)*0.3+IFERROR(D10,0)*0.2+IFERROR(E10,0)*0.2+IFERROR(F10,0)*0.2+IFERROR(G10,0)*0.05+IFERROR(H10,0)*0.05)</f>
        <v>87.5333333333333</v>
      </c>
      <c r="J10" s="10" t="n">
        <f aca="false">IF(I10="","",RANK(I10,$I$7:$I$21,0))</f>
        <v>2</v>
      </c>
      <c r="K10" s="9" t="s">
        <v>93</v>
      </c>
      <c r="L10" s="9" t="s">
        <v>94</v>
      </c>
      <c r="M10" s="9" t="s">
        <v>95</v>
      </c>
      <c r="N10" s="8" t="s">
        <v>51</v>
      </c>
    </row>
    <row r="11" customFormat="false" ht="15" hidden="false" customHeight="false" outlineLevel="0" collapsed="false">
      <c r="A11" s="10" t="n">
        <f aca="false">'Batch Test Results'!A9</f>
        <v>5</v>
      </c>
      <c r="B11" s="10" t="n">
        <f aca="false">'Batch Test Results'!B9</f>
        <v>0</v>
      </c>
      <c r="C11" s="10" t="str">
        <f aca="false">IFERROR('Batch Test Results'!O9,"")</f>
        <v/>
      </c>
      <c r="D11" s="10" t="str">
        <f aca="false">IFERROR('Batch Test Results'!T9,"")</f>
        <v/>
      </c>
      <c r="E11" s="10" t="str">
        <f aca="false">IFERROR('Pattern Score'!H9,"")</f>
        <v/>
      </c>
      <c r="F11" s="8"/>
      <c r="G11" s="8"/>
      <c r="H11" s="8"/>
      <c r="I11" s="10" t="str">
        <f aca="false">IF(B11="","",IFERROR(C11,0)*0.3+IFERROR(D11,0)*0.2+IFERROR(E11,0)*0.2+IFERROR(F11,0)*0.2+IFERROR(G11,0)*0.05+IFERROR(H11,0)*0.05)</f>
        <v/>
      </c>
      <c r="J11" s="10" t="str">
        <f aca="false">IF(I11="","",RANK(I11,$I$7:$I$21,0))</f>
        <v/>
      </c>
      <c r="K11" s="9"/>
      <c r="L11" s="9"/>
      <c r="M11" s="9"/>
      <c r="N11" s="8"/>
    </row>
    <row r="12" customFormat="false" ht="15" hidden="false" customHeight="false" outlineLevel="0" collapsed="false">
      <c r="A12" s="10" t="n">
        <f aca="false">'Batch Test Results'!A10</f>
        <v>6</v>
      </c>
      <c r="B12" s="10" t="n">
        <f aca="false">'Batch Test Results'!B10</f>
        <v>0</v>
      </c>
      <c r="C12" s="10" t="str">
        <f aca="false">IFERROR('Batch Test Results'!O10,"")</f>
        <v/>
      </c>
      <c r="D12" s="10" t="str">
        <f aca="false">IFERROR('Batch Test Results'!T10,"")</f>
        <v/>
      </c>
      <c r="E12" s="10" t="str">
        <f aca="false">IFERROR('Pattern Score'!H10,"")</f>
        <v/>
      </c>
      <c r="F12" s="8"/>
      <c r="G12" s="8"/>
      <c r="H12" s="8"/>
      <c r="I12" s="10" t="str">
        <f aca="false">IF(B12="","",IFERROR(C12,0)*0.3+IFERROR(D12,0)*0.2+IFERROR(E12,0)*0.2+IFERROR(F12,0)*0.2+IFERROR(G12,0)*0.05+IFERROR(H12,0)*0.05)</f>
        <v/>
      </c>
      <c r="J12" s="10" t="str">
        <f aca="false">IF(I12="","",RANK(I12,$I$7:$I$21,0))</f>
        <v/>
      </c>
      <c r="K12" s="9"/>
      <c r="L12" s="9"/>
      <c r="M12" s="9"/>
      <c r="N12" s="8"/>
    </row>
    <row r="13" customFormat="false" ht="15" hidden="false" customHeight="false" outlineLevel="0" collapsed="false">
      <c r="A13" s="10" t="n">
        <f aca="false">'Batch Test Results'!A11</f>
        <v>7</v>
      </c>
      <c r="B13" s="10" t="n">
        <f aca="false">'Batch Test Results'!B11</f>
        <v>0</v>
      </c>
      <c r="C13" s="10" t="str">
        <f aca="false">IFERROR('Batch Test Results'!O11,"")</f>
        <v/>
      </c>
      <c r="D13" s="10" t="str">
        <f aca="false">IFERROR('Batch Test Results'!T11,"")</f>
        <v/>
      </c>
      <c r="E13" s="10" t="str">
        <f aca="false">IFERROR('Pattern Score'!H11,"")</f>
        <v/>
      </c>
      <c r="F13" s="8"/>
      <c r="G13" s="8"/>
      <c r="H13" s="8"/>
      <c r="I13" s="10" t="str">
        <f aca="false">IF(B13="","",IFERROR(C13,0)*0.3+IFERROR(D13,0)*0.2+IFERROR(E13,0)*0.2+IFERROR(F13,0)*0.2+IFERROR(G13,0)*0.05+IFERROR(H13,0)*0.05)</f>
        <v/>
      </c>
      <c r="J13" s="10" t="str">
        <f aca="false">IF(I13="","",RANK(I13,$I$7:$I$21,0))</f>
        <v/>
      </c>
      <c r="K13" s="9"/>
      <c r="L13" s="9"/>
      <c r="M13" s="9"/>
      <c r="N13" s="8"/>
    </row>
    <row r="14" customFormat="false" ht="15" hidden="false" customHeight="false" outlineLevel="0" collapsed="false">
      <c r="A14" s="10" t="n">
        <f aca="false">'Batch Test Results'!A12</f>
        <v>8</v>
      </c>
      <c r="B14" s="10" t="n">
        <f aca="false">'Batch Test Results'!B12</f>
        <v>0</v>
      </c>
      <c r="C14" s="10" t="str">
        <f aca="false">IFERROR('Batch Test Results'!O12,"")</f>
        <v/>
      </c>
      <c r="D14" s="10" t="str">
        <f aca="false">IFERROR('Batch Test Results'!T12,"")</f>
        <v/>
      </c>
      <c r="E14" s="10" t="str">
        <f aca="false">IFERROR('Pattern Score'!H12,"")</f>
        <v/>
      </c>
      <c r="F14" s="8"/>
      <c r="G14" s="8"/>
      <c r="H14" s="8"/>
      <c r="I14" s="10" t="str">
        <f aca="false">IF(B14="","",IFERROR(C14,0)*0.3+IFERROR(D14,0)*0.2+IFERROR(E14,0)*0.2+IFERROR(F14,0)*0.2+IFERROR(G14,0)*0.05+IFERROR(H14,0)*0.05)</f>
        <v/>
      </c>
      <c r="J14" s="10" t="str">
        <f aca="false">IF(I14="","",RANK(I14,$I$7:$I$21,0))</f>
        <v/>
      </c>
      <c r="K14" s="9"/>
      <c r="L14" s="9"/>
      <c r="M14" s="9"/>
      <c r="N14" s="8"/>
    </row>
    <row r="15" customFormat="false" ht="15" hidden="false" customHeight="false" outlineLevel="0" collapsed="false">
      <c r="A15" s="10" t="n">
        <f aca="false">'Batch Test Results'!A13</f>
        <v>9</v>
      </c>
      <c r="B15" s="10" t="n">
        <f aca="false">'Batch Test Results'!B13</f>
        <v>0</v>
      </c>
      <c r="C15" s="10" t="str">
        <f aca="false">IFERROR('Batch Test Results'!O13,"")</f>
        <v/>
      </c>
      <c r="D15" s="10" t="str">
        <f aca="false">IFERROR('Batch Test Results'!T13,"")</f>
        <v/>
      </c>
      <c r="E15" s="10" t="str">
        <f aca="false">IFERROR('Pattern Score'!H13,"")</f>
        <v/>
      </c>
      <c r="F15" s="8"/>
      <c r="G15" s="8"/>
      <c r="H15" s="8"/>
      <c r="I15" s="10" t="str">
        <f aca="false">IF(B15="","",IFERROR(C15,0)*0.3+IFERROR(D15,0)*0.2+IFERROR(E15,0)*0.2+IFERROR(F15,0)*0.2+IFERROR(G15,0)*0.05+IFERROR(H15,0)*0.05)</f>
        <v/>
      </c>
      <c r="J15" s="10" t="str">
        <f aca="false">IF(I15="","",RANK(I15,$I$7:$I$21,0))</f>
        <v/>
      </c>
      <c r="K15" s="9"/>
      <c r="L15" s="9"/>
      <c r="M15" s="9"/>
      <c r="N15" s="8"/>
    </row>
    <row r="16" customFormat="false" ht="15" hidden="false" customHeight="false" outlineLevel="0" collapsed="false">
      <c r="A16" s="10" t="n">
        <f aca="false">'Batch Test Results'!A14</f>
        <v>10</v>
      </c>
      <c r="B16" s="10" t="n">
        <f aca="false">'Batch Test Results'!B14</f>
        <v>0</v>
      </c>
      <c r="C16" s="10" t="str">
        <f aca="false">IFERROR('Batch Test Results'!O14,"")</f>
        <v/>
      </c>
      <c r="D16" s="10" t="str">
        <f aca="false">IFERROR('Batch Test Results'!T14,"")</f>
        <v/>
      </c>
      <c r="E16" s="10" t="str">
        <f aca="false">IFERROR('Pattern Score'!H14,"")</f>
        <v/>
      </c>
      <c r="F16" s="8"/>
      <c r="G16" s="8"/>
      <c r="H16" s="8"/>
      <c r="I16" s="10" t="str">
        <f aca="false">IF(B16="","",IFERROR(C16,0)*0.3+IFERROR(D16,0)*0.2+IFERROR(E16,0)*0.2+IFERROR(F16,0)*0.2+IFERROR(G16,0)*0.05+IFERROR(H16,0)*0.05)</f>
        <v/>
      </c>
      <c r="J16" s="10" t="str">
        <f aca="false">IF(I16="","",RANK(I16,$I$7:$I$21,0))</f>
        <v/>
      </c>
      <c r="K16" s="9"/>
      <c r="L16" s="9"/>
      <c r="M16" s="9"/>
      <c r="N16" s="8"/>
    </row>
    <row r="17" customFormat="false" ht="15" hidden="false" customHeight="false" outlineLevel="0" collapsed="false">
      <c r="A17" s="10" t="n">
        <f aca="false">'Batch Test Results'!A15</f>
        <v>11</v>
      </c>
      <c r="B17" s="10" t="n">
        <f aca="false">'Batch Test Results'!B15</f>
        <v>0</v>
      </c>
      <c r="C17" s="10" t="str">
        <f aca="false">IFERROR('Batch Test Results'!O15,"")</f>
        <v/>
      </c>
      <c r="D17" s="10" t="str">
        <f aca="false">IFERROR('Batch Test Results'!T15,"")</f>
        <v/>
      </c>
      <c r="E17" s="10" t="str">
        <f aca="false">IFERROR('Pattern Score'!H15,"")</f>
        <v/>
      </c>
      <c r="F17" s="8"/>
      <c r="G17" s="8"/>
      <c r="H17" s="8"/>
      <c r="I17" s="10" t="str">
        <f aca="false">IF(B17="","",IFERROR(C17,0)*0.3+IFERROR(D17,0)*0.2+IFERROR(E17,0)*0.2+IFERROR(F17,0)*0.2+IFERROR(G17,0)*0.05+IFERROR(H17,0)*0.05)</f>
        <v/>
      </c>
      <c r="J17" s="10" t="str">
        <f aca="false">IF(I17="","",RANK(I17,$I$7:$I$21,0))</f>
        <v/>
      </c>
      <c r="K17" s="9"/>
      <c r="L17" s="9"/>
      <c r="M17" s="9"/>
      <c r="N17" s="8"/>
    </row>
    <row r="18" customFormat="false" ht="15" hidden="false" customHeight="false" outlineLevel="0" collapsed="false">
      <c r="A18" s="10" t="n">
        <f aca="false">'Batch Test Results'!A16</f>
        <v>12</v>
      </c>
      <c r="B18" s="10" t="n">
        <f aca="false">'Batch Test Results'!B16</f>
        <v>0</v>
      </c>
      <c r="C18" s="10" t="str">
        <f aca="false">IFERROR('Batch Test Results'!O16,"")</f>
        <v/>
      </c>
      <c r="D18" s="10" t="str">
        <f aca="false">IFERROR('Batch Test Results'!T16,"")</f>
        <v/>
      </c>
      <c r="E18" s="10" t="str">
        <f aca="false">IFERROR('Pattern Score'!H16,"")</f>
        <v/>
      </c>
      <c r="F18" s="8"/>
      <c r="G18" s="8"/>
      <c r="H18" s="8"/>
      <c r="I18" s="10" t="str">
        <f aca="false">IF(B18="","",IFERROR(C18,0)*0.3+IFERROR(D18,0)*0.2+IFERROR(E18,0)*0.2+IFERROR(F18,0)*0.2+IFERROR(G18,0)*0.05+IFERROR(H18,0)*0.05)</f>
        <v/>
      </c>
      <c r="J18" s="10" t="str">
        <f aca="false">IF(I18="","",RANK(I18,$I$7:$I$21,0))</f>
        <v/>
      </c>
      <c r="K18" s="9"/>
      <c r="L18" s="9"/>
      <c r="M18" s="9"/>
      <c r="N18" s="8"/>
    </row>
    <row r="19" customFormat="false" ht="15" hidden="false" customHeight="false" outlineLevel="0" collapsed="false">
      <c r="A19" s="10" t="n">
        <f aca="false">'Batch Test Results'!A17</f>
        <v>13</v>
      </c>
      <c r="B19" s="10" t="n">
        <f aca="false">'Batch Test Results'!B17</f>
        <v>0</v>
      </c>
      <c r="C19" s="10" t="str">
        <f aca="false">IFERROR('Batch Test Results'!O17,"")</f>
        <v/>
      </c>
      <c r="D19" s="10" t="str">
        <f aca="false">IFERROR('Batch Test Results'!T17,"")</f>
        <v/>
      </c>
      <c r="E19" s="10" t="str">
        <f aca="false">IFERROR('Pattern Score'!H17,"")</f>
        <v/>
      </c>
      <c r="F19" s="8"/>
      <c r="G19" s="8"/>
      <c r="H19" s="8"/>
      <c r="I19" s="10" t="str">
        <f aca="false">IF(B19="","",IFERROR(C19,0)*0.3+IFERROR(D19,0)*0.2+IFERROR(E19,0)*0.2+IFERROR(F19,0)*0.2+IFERROR(G19,0)*0.05+IFERROR(H19,0)*0.05)</f>
        <v/>
      </c>
      <c r="J19" s="10" t="str">
        <f aca="false">IF(I19="","",RANK(I19,$I$7:$I$21,0))</f>
        <v/>
      </c>
      <c r="K19" s="9"/>
      <c r="L19" s="9"/>
      <c r="M19" s="9"/>
      <c r="N19" s="8"/>
    </row>
    <row r="20" customFormat="false" ht="15" hidden="false" customHeight="false" outlineLevel="0" collapsed="false">
      <c r="A20" s="10" t="n">
        <f aca="false">'Batch Test Results'!A18</f>
        <v>14</v>
      </c>
      <c r="B20" s="10" t="n">
        <f aca="false">'Batch Test Results'!B18</f>
        <v>0</v>
      </c>
      <c r="C20" s="10" t="str">
        <f aca="false">IFERROR('Batch Test Results'!O18,"")</f>
        <v/>
      </c>
      <c r="D20" s="10" t="str">
        <f aca="false">IFERROR('Batch Test Results'!T18,"")</f>
        <v/>
      </c>
      <c r="E20" s="10" t="str">
        <f aca="false">IFERROR('Pattern Score'!H18,"")</f>
        <v/>
      </c>
      <c r="F20" s="8"/>
      <c r="G20" s="8"/>
      <c r="H20" s="8"/>
      <c r="I20" s="10" t="str">
        <f aca="false">IF(B20="","",IFERROR(C20,0)*0.3+IFERROR(D20,0)*0.2+IFERROR(E20,0)*0.2+IFERROR(F20,0)*0.2+IFERROR(G20,0)*0.05+IFERROR(H20,0)*0.05)</f>
        <v/>
      </c>
      <c r="J20" s="10" t="str">
        <f aca="false">IF(I20="","",RANK(I20,$I$7:$I$21,0))</f>
        <v/>
      </c>
      <c r="K20" s="9"/>
      <c r="L20" s="9"/>
      <c r="M20" s="9"/>
      <c r="N20" s="8"/>
    </row>
    <row r="21" customFormat="false" ht="15" hidden="false" customHeight="false" outlineLevel="0" collapsed="false">
      <c r="A21" s="10" t="n">
        <f aca="false">'Batch Test Results'!A19</f>
        <v>15</v>
      </c>
      <c r="B21" s="10" t="n">
        <f aca="false">'Batch Test Results'!B19</f>
        <v>0</v>
      </c>
      <c r="C21" s="10" t="str">
        <f aca="false">IFERROR('Batch Test Results'!O19,"")</f>
        <v/>
      </c>
      <c r="D21" s="10" t="str">
        <f aca="false">IFERROR('Batch Test Results'!T19,"")</f>
        <v/>
      </c>
      <c r="E21" s="10" t="str">
        <f aca="false">IFERROR('Pattern Score'!H19,"")</f>
        <v/>
      </c>
      <c r="F21" s="8"/>
      <c r="G21" s="8"/>
      <c r="H21" s="8"/>
      <c r="I21" s="10" t="str">
        <f aca="false">IF(B21="","",IFERROR(C21,0)*0.3+IFERROR(D21,0)*0.2+IFERROR(E21,0)*0.2+IFERROR(F21,0)*0.2+IFERROR(G21,0)*0.05+IFERROR(H21,0)*0.05)</f>
        <v/>
      </c>
      <c r="J21" s="10" t="str">
        <f aca="false">IF(I21="","",RANK(I21,$I$7:$I$21,0))</f>
        <v/>
      </c>
      <c r="K21" s="9"/>
      <c r="L21" s="9"/>
      <c r="M21" s="9"/>
      <c r="N21" s="8"/>
    </row>
  </sheetData>
  <mergeCells count="3">
    <mergeCell ref="A1:O1"/>
    <mergeCell ref="A2:O2"/>
    <mergeCell ref="A4:O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2026-10-11T07:49:39Z</dcterms:created>
  <dc:creator>openpyxl</dc:creator>
  <dc:description/>
  <dc:language>en-US</dc:language>
  <cp:lastModifiedBy/>
  <dcterms:modified xsi:type="dcterms:W3CDTF">2026-10-11T07:49:39Z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